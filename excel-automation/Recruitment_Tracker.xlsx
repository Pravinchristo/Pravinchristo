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Dashboard" sheetId="2" state="visible" r:id="rId4"/>
    <sheet name="Requisitions" sheetId="3" state="visible" r:id="rId5"/>
    <sheet name="Candidates" sheetId="4" state="visible" r:id="rId6"/>
    <sheet name="Lists" sheetId="5" state="visible" r:id="rId7"/>
  </sheets>
  <definedNames>
    <definedName function="false" hidden="true" localSheetId="3" name="_xlnm._FilterDatabase" vbProcedure="false">Candidates!$A$1:$AE$501</definedName>
    <definedName function="false" hidden="true" localSheetId="2" name="_xlnm._FilterDatabase" vbProcedure="false">Requisitions!$A$1:$S$101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<sst xmlns="http://schemas.openxmlformats.org/spreadsheetml/2006/main" count="537" uniqueCount="291">
  <si>
    <t xml:space="preserve">Automated Recruitment Tracker</t>
  </si>
  <si>
    <t xml:space="preserve">You only type in the cream / dark-navy-header columns. Everything in light-blue cells (teal headers) is calculated automatically.</t>
  </si>
  <si>
    <t xml:space="preserve">1. Requisitions — add each open role (Req ID, Role, Openings, Open &amp; Target dates). Candidate counts, fill %, days open and status (Open / Overdue / No Pipeline / Filled) update themselves.</t>
  </si>
  <si>
    <t xml:space="preserve">2. Candidates — add one row per candidate. Pick the Req ID from the dropdown; Role and Hiring Manager fill in automatically. Candidate ID is generated.</t>
  </si>
  <si>
    <t xml:space="preserve">3. When a candidate moves, change 'Current Stage' and set 'Stage Updated On' to today (Ctrl + ; ). The sheet recalculates days in stage, SLA status, next action, hike %, time-to-offer and time-to-hire.</t>
  </si>
  <si>
    <t xml:space="preserve">4. For Rejected / Withdrawn candidates, fill 'Dropped At Stage' (cell turns amber until you do) so the funnel stays accurate.</t>
  </si>
  <si>
    <t xml:space="preserve">5. Dashboard — KPI tiles, funnel conversion, source effectiveness, recruiter performance, monthly trend and requisition health. Nothing to edit; it refreshes on open.</t>
  </si>
  <si>
    <t xml:space="preserve">6. Lists — change stages, SLA days, next-action text, sources, recruiters, departments and locations. Every dropdown and rule follows these settings.</t>
  </si>
  <si>
    <t xml:space="preserve">Automations built in</t>
  </si>
  <si>
    <t xml:space="preserve">• Auto Candidate ID, Role / Hiring Manager lookup, duplicate email &amp; Req ID blocking, dropdowns and date validation on every input.</t>
  </si>
  <si>
    <t xml:space="preserve">• SLA engine: flags candidates sitting in a stage longer than its SLA (red 'BREACH'). Next Action tells the recruiter what to do.</t>
  </si>
  <si>
    <t xml:space="preserve">• Expected joining date = Offer date + notice period; hike % highlighted amber when above 40%.</t>
  </si>
  <si>
    <t xml:space="preserve">• Requisitions turn red when past target date and not filled; data bars show fill %.</t>
  </si>
  <si>
    <t xml:space="preserve">• Pre-wired for 500 candidates and 100 requisitions — just keep typing in the next empty row.</t>
  </si>
  <si>
    <t xml:space="preserve">Notes / assumptions</t>
  </si>
  <si>
    <t xml:space="preserve">• CTC is in Lakhs Per Annum (LPA). SLA days per stage are defaults set on the Lists sheet — adjust to your process.</t>
  </si>
  <si>
    <t xml:space="preserve">• Days counts use TODAY(), so the workbook updates every time it is opened.</t>
  </si>
  <si>
    <t xml:space="preserve">• Offer Acceptance % = (Offer Accepted + Joined) ÷ (Offer Accepted + Joined + Offer Declined).</t>
  </si>
  <si>
    <t xml:space="preserve">• This copy contains DEMO data (6 reqs, 40 candidates). Use Recruitment_Tracker_Template.xlsx for a clean start.</t>
  </si>
  <si>
    <t xml:space="preserve">Recruitment Dashboard</t>
  </si>
  <si>
    <t xml:space="preserve">Total Candidates</t>
  </si>
  <si>
    <t xml:space="preserve">Active Pipeline</t>
  </si>
  <si>
    <t xml:space="preserve">Offers Made</t>
  </si>
  <si>
    <t xml:space="preserve">Joined</t>
  </si>
  <si>
    <t xml:space="preserve">Offer Acceptance %</t>
  </si>
  <si>
    <t xml:space="preserve">Avg Time to Hire (d)</t>
  </si>
  <si>
    <t xml:space="preserve">Avg Time to Offer (d)</t>
  </si>
  <si>
    <t xml:space="preserve">SLA Breaches</t>
  </si>
  <si>
    <t xml:space="preserve">Open Requisitions</t>
  </si>
  <si>
    <t xml:space="preserve">Openings Left</t>
  </si>
  <si>
    <t xml:space="preserve">Overdue Reqs</t>
  </si>
  <si>
    <t xml:space="preserve">Avg Hike Asked</t>
  </si>
  <si>
    <t xml:space="preserve">Hiring Funnel</t>
  </si>
  <si>
    <t xml:space="preserve">Current Stage Snapshot</t>
  </si>
  <si>
    <t xml:space="preserve">Stage</t>
  </si>
  <si>
    <t xml:space="preserve">Reached</t>
  </si>
  <si>
    <t xml:space="preserve">% of Total</t>
  </si>
  <si>
    <t xml:space="preserve">Step Conv.</t>
  </si>
  <si>
    <t xml:space="preserve">Candidates</t>
  </si>
  <si>
    <t xml:space="preserve">SLA Breach</t>
  </si>
  <si>
    <t xml:space="preserve">Sourced</t>
  </si>
  <si>
    <t xml:space="preserve">Screening</t>
  </si>
  <si>
    <t xml:space="preserve">Tech Round 1</t>
  </si>
  <si>
    <t xml:space="preserve">Tech Round 2</t>
  </si>
  <si>
    <t xml:space="preserve">HR Round</t>
  </si>
  <si>
    <t xml:space="preserve">Offered</t>
  </si>
  <si>
    <t xml:space="preserve">Offer Accepted</t>
  </si>
  <si>
    <t xml:space="preserve">Offer Declined</t>
  </si>
  <si>
    <t xml:space="preserve">Rejected</t>
  </si>
  <si>
    <t xml:space="preserve">Withdrawn</t>
  </si>
  <si>
    <t xml:space="preserve">Source Effectiveness</t>
  </si>
  <si>
    <t xml:space="preserve">Recruiter Performance</t>
  </si>
  <si>
    <t xml:space="preserve">Source</t>
  </si>
  <si>
    <t xml:space="preserve">Hires</t>
  </si>
  <si>
    <t xml:space="preserve">Hire Rate</t>
  </si>
  <si>
    <t xml:space="preserve">Recruiter</t>
  </si>
  <si>
    <t xml:space="preserve">Active</t>
  </si>
  <si>
    <t xml:space="preserve">Offers</t>
  </si>
  <si>
    <t xml:space="preserve">Monthly Trend (current year)</t>
  </si>
  <si>
    <t xml:space="preserve">Requisition Health</t>
  </si>
  <si>
    <t xml:space="preserve">Month</t>
  </si>
  <si>
    <t xml:space="preserve">Applications</t>
  </si>
  <si>
    <t xml:space="preserve">Req Status</t>
  </si>
  <si>
    <t xml:space="preserve">Count</t>
  </si>
  <si>
    <t xml:space="preserve">Open</t>
  </si>
  <si>
    <t xml:space="preserve">Overdue</t>
  </si>
  <si>
    <t xml:space="preserve">No Pipeline</t>
  </si>
  <si>
    <t xml:space="preserve">Filled</t>
  </si>
  <si>
    <t xml:space="preserve">Req ID</t>
  </si>
  <si>
    <t xml:space="preserve">Role</t>
  </si>
  <si>
    <t xml:space="preserve">Department</t>
  </si>
  <si>
    <t xml:space="preserve">Hiring Manager</t>
  </si>
  <si>
    <t xml:space="preserve">Location</t>
  </si>
  <si>
    <t xml:space="preserve">Openings</t>
  </si>
  <si>
    <t xml:space="preserve">Priority</t>
  </si>
  <si>
    <t xml:space="preserve">Open Date</t>
  </si>
  <si>
    <t xml:space="preserve">Target Close Date</t>
  </si>
  <si>
    <t xml:space="preserve">Fill %</t>
  </si>
  <si>
    <t xml:space="preserve">Days Open</t>
  </si>
  <si>
    <t xml:space="preserve">Days to Target</t>
  </si>
  <si>
    <t xml:space="preserve">REQ-101</t>
  </si>
  <si>
    <t xml:space="preserve">QA Automation Engineer (Python)</t>
  </si>
  <si>
    <t xml:space="preserve">QA</t>
  </si>
  <si>
    <t xml:space="preserve">S. Raman</t>
  </si>
  <si>
    <t xml:space="preserve">Chennai</t>
  </si>
  <si>
    <t xml:space="preserve">High</t>
  </si>
  <si>
    <t xml:space="preserve">Pravin Christo</t>
  </si>
  <si>
    <t xml:space="preserve">REQ-102</t>
  </si>
  <si>
    <t xml:space="preserve">Senior SDET</t>
  </si>
  <si>
    <t xml:space="preserve">M. Iyer</t>
  </si>
  <si>
    <t xml:space="preserve">Bangalore</t>
  </si>
  <si>
    <t xml:space="preserve">REQ-103</t>
  </si>
  <si>
    <t xml:space="preserve">Python Backend Developer</t>
  </si>
  <si>
    <t xml:space="preserve">Engineering</t>
  </si>
  <si>
    <t xml:space="preserve">A. Kumar</t>
  </si>
  <si>
    <t xml:space="preserve">Medium</t>
  </si>
  <si>
    <t xml:space="preserve">Recruiter 2</t>
  </si>
  <si>
    <t xml:space="preserve">REQ-104</t>
  </si>
  <si>
    <t xml:space="preserve">DevOps Engineer</t>
  </si>
  <si>
    <t xml:space="preserve">DevOps</t>
  </si>
  <si>
    <t xml:space="preserve">R. Nair</t>
  </si>
  <si>
    <t xml:space="preserve">Hyderabad</t>
  </si>
  <si>
    <t xml:space="preserve">Recruiter 3</t>
  </si>
  <si>
    <t xml:space="preserve">REQ-105</t>
  </si>
  <si>
    <t xml:space="preserve">Data Engineer</t>
  </si>
  <si>
    <t xml:space="preserve">Data</t>
  </si>
  <si>
    <t xml:space="preserve">P. Das</t>
  </si>
  <si>
    <t xml:space="preserve">Pune</t>
  </si>
  <si>
    <t xml:space="preserve">Low</t>
  </si>
  <si>
    <t xml:space="preserve">REQ-106</t>
  </si>
  <si>
    <t xml:space="preserve">Cloud Architect</t>
  </si>
  <si>
    <t xml:space="preserve">Cloud</t>
  </si>
  <si>
    <t xml:space="preserve">K. Menon</t>
  </si>
  <si>
    <t xml:space="preserve">Remote</t>
  </si>
  <si>
    <t xml:space="preserve">Candidate ID</t>
  </si>
  <si>
    <t xml:space="preserve">Candidate Name</t>
  </si>
  <si>
    <t xml:space="preserve">Email</t>
  </si>
  <si>
    <t xml:space="preserve">Phone</t>
  </si>
  <si>
    <t xml:space="preserve">Applied Date</t>
  </si>
  <si>
    <t xml:space="preserve">Current Stage</t>
  </si>
  <si>
    <t xml:space="preserve">Stage Updated On</t>
  </si>
  <si>
    <t xml:space="preserve">Pipeline Status</t>
  </si>
  <si>
    <t xml:space="preserve">Dropped At Stage</t>
  </si>
  <si>
    <t xml:space="preserve">Exp (yrs)</t>
  </si>
  <si>
    <t xml:space="preserve">Current CTC (LPA)</t>
  </si>
  <si>
    <t xml:space="preserve">Expected CTC (LPA)</t>
  </si>
  <si>
    <t xml:space="preserve">Notice (days)</t>
  </si>
  <si>
    <t xml:space="preserve">Interview Rating (1-5)</t>
  </si>
  <si>
    <t xml:space="preserve">Offer Date</t>
  </si>
  <si>
    <t xml:space="preserve">Joining Date</t>
  </si>
  <si>
    <t xml:space="preserve">Hike %</t>
  </si>
  <si>
    <t xml:space="preserve">Days in Pipeline</t>
  </si>
  <si>
    <t xml:space="preserve">Days in Stage</t>
  </si>
  <si>
    <t xml:space="preserve">Stage SLA (days)</t>
  </si>
  <si>
    <t xml:space="preserve">SLA Status</t>
  </si>
  <si>
    <t xml:space="preserve">Next Action</t>
  </si>
  <si>
    <t xml:space="preserve">Expected Joining</t>
  </si>
  <si>
    <t xml:space="preserve">Time to Offer (days)</t>
  </si>
  <si>
    <t xml:space="preserve">Time to Hire (days)</t>
  </si>
  <si>
    <t xml:space="preserve">Furthest Stage #</t>
  </si>
  <si>
    <t xml:space="preserve">Arun Kumar</t>
  </si>
  <si>
    <t xml:space="preserve">arun.0@mail.com</t>
  </si>
  <si>
    <t xml:space="preserve">9644854973</t>
  </si>
  <si>
    <t xml:space="preserve">Naukri</t>
  </si>
  <si>
    <t xml:space="preserve">Divya Das</t>
  </si>
  <si>
    <t xml:space="preserve">divya.1@mail.com</t>
  </si>
  <si>
    <t xml:space="preserve">9166423868</t>
  </si>
  <si>
    <t xml:space="preserve">Indeed</t>
  </si>
  <si>
    <t xml:space="preserve">Ravi S</t>
  </si>
  <si>
    <t xml:space="preserve">ravi.2@mail.com</t>
  </si>
  <si>
    <t xml:space="preserve">9680557051</t>
  </si>
  <si>
    <t xml:space="preserve">LinkedIn</t>
  </si>
  <si>
    <t xml:space="preserve">Sneha R</t>
  </si>
  <si>
    <t xml:space="preserve">sneha.3@mail.com</t>
  </si>
  <si>
    <t xml:space="preserve">9705985840</t>
  </si>
  <si>
    <t xml:space="preserve">Vikram S</t>
  </si>
  <si>
    <t xml:space="preserve">vikram.4@mail.com</t>
  </si>
  <si>
    <t xml:space="preserve">9850539557</t>
  </si>
  <si>
    <t xml:space="preserve">Priya R</t>
  </si>
  <si>
    <t xml:space="preserve">priya.5@mail.com</t>
  </si>
  <si>
    <t xml:space="preserve">9226772164</t>
  </si>
  <si>
    <t xml:space="preserve">Karthik Nair</t>
  </si>
  <si>
    <t xml:space="preserve">karthik.6@mail.com</t>
  </si>
  <si>
    <t xml:space="preserve">9738199795</t>
  </si>
  <si>
    <t xml:space="preserve">Career Page</t>
  </si>
  <si>
    <t xml:space="preserve">Meera Das</t>
  </si>
  <si>
    <t xml:space="preserve">meera.7@mail.com</t>
  </si>
  <si>
    <t xml:space="preserve">9831472844</t>
  </si>
  <si>
    <t xml:space="preserve">Rahul Menon</t>
  </si>
  <si>
    <t xml:space="preserve">rahul.8@mail.com</t>
  </si>
  <si>
    <t xml:space="preserve">9924883888</t>
  </si>
  <si>
    <t xml:space="preserve">Referral</t>
  </si>
  <si>
    <t xml:space="preserve">Anjali Iyer</t>
  </si>
  <si>
    <t xml:space="preserve">anjali.9@mail.com</t>
  </si>
  <si>
    <t xml:space="preserve">9689956612</t>
  </si>
  <si>
    <t xml:space="preserve">Suresh S</t>
  </si>
  <si>
    <t xml:space="preserve">suresh.10@mail.com</t>
  </si>
  <si>
    <t xml:space="preserve">9262455407</t>
  </si>
  <si>
    <t xml:space="preserve">Kavya S</t>
  </si>
  <si>
    <t xml:space="preserve">kavya.11@mail.com</t>
  </si>
  <si>
    <t xml:space="preserve">9549840379</t>
  </si>
  <si>
    <t xml:space="preserve">Manoj Iyer</t>
  </si>
  <si>
    <t xml:space="preserve">manoj.12@mail.com</t>
  </si>
  <si>
    <t xml:space="preserve">9211172107</t>
  </si>
  <si>
    <t xml:space="preserve">Deepa Nair</t>
  </si>
  <si>
    <t xml:space="preserve">deepa.13@mail.com</t>
  </si>
  <si>
    <t xml:space="preserve">9745025986</t>
  </si>
  <si>
    <t xml:space="preserve">Ajay Reddy</t>
  </si>
  <si>
    <t xml:space="preserve">ajay.14@mail.com</t>
  </si>
  <si>
    <t xml:space="preserve">9473006684</t>
  </si>
  <si>
    <t xml:space="preserve">Nisha Shah</t>
  </si>
  <si>
    <t xml:space="preserve">nisha.15@mail.com</t>
  </si>
  <si>
    <t xml:space="preserve">9434848879</t>
  </si>
  <si>
    <t xml:space="preserve">Gokul Nair</t>
  </si>
  <si>
    <t xml:space="preserve">gokul.16@mail.com</t>
  </si>
  <si>
    <t xml:space="preserve">9257413274</t>
  </si>
  <si>
    <t xml:space="preserve">Agency</t>
  </si>
  <si>
    <t xml:space="preserve">Lakshmi Patel</t>
  </si>
  <si>
    <t xml:space="preserve">lakshmi.17@mail.com</t>
  </si>
  <si>
    <t xml:space="preserve">9493740901</t>
  </si>
  <si>
    <t xml:space="preserve">Hari Iyer</t>
  </si>
  <si>
    <t xml:space="preserve">hari.18@mail.com</t>
  </si>
  <si>
    <t xml:space="preserve">9894432601</t>
  </si>
  <si>
    <t xml:space="preserve">Pooja Das</t>
  </si>
  <si>
    <t xml:space="preserve">pooja.19@mail.com</t>
  </si>
  <si>
    <t xml:space="preserve">9469668829</t>
  </si>
  <si>
    <t xml:space="preserve">Naveen Shah</t>
  </si>
  <si>
    <t xml:space="preserve">naveen.20@mail.com</t>
  </si>
  <si>
    <t xml:space="preserve">9770086184</t>
  </si>
  <si>
    <t xml:space="preserve">Swathi Iyer</t>
  </si>
  <si>
    <t xml:space="preserve">swathi.21@mail.com</t>
  </si>
  <si>
    <t xml:space="preserve">9947327719</t>
  </si>
  <si>
    <t xml:space="preserve">Ramesh Das</t>
  </si>
  <si>
    <t xml:space="preserve">ramesh.22@mail.com</t>
  </si>
  <si>
    <t xml:space="preserve">9599669927</t>
  </si>
  <si>
    <t xml:space="preserve">Ishita S</t>
  </si>
  <si>
    <t xml:space="preserve">ishita.23@mail.com</t>
  </si>
  <si>
    <t xml:space="preserve">9565799330</t>
  </si>
  <si>
    <t xml:space="preserve">Vijay Patel</t>
  </si>
  <si>
    <t xml:space="preserve">vijay.24@mail.com</t>
  </si>
  <si>
    <t xml:space="preserve">9549911297</t>
  </si>
  <si>
    <t xml:space="preserve">Revathi S</t>
  </si>
  <si>
    <t xml:space="preserve">revathi.25@mail.com</t>
  </si>
  <si>
    <t xml:space="preserve">9662110918</t>
  </si>
  <si>
    <t xml:space="preserve">Sanjay R</t>
  </si>
  <si>
    <t xml:space="preserve">sanjay.26@mail.com</t>
  </si>
  <si>
    <t xml:space="preserve">9697511159</t>
  </si>
  <si>
    <t xml:space="preserve">Harini Menon</t>
  </si>
  <si>
    <t xml:space="preserve">harini.27@mail.com</t>
  </si>
  <si>
    <t xml:space="preserve">9397337444</t>
  </si>
  <si>
    <t xml:space="preserve">Prakash Patel</t>
  </si>
  <si>
    <t xml:space="preserve">prakash.28@mail.com</t>
  </si>
  <si>
    <t xml:space="preserve">9750835376</t>
  </si>
  <si>
    <t xml:space="preserve">Aarthi Menon</t>
  </si>
  <si>
    <t xml:space="preserve">aarthi.29@mail.com</t>
  </si>
  <si>
    <t xml:space="preserve">9580529775</t>
  </si>
  <si>
    <t xml:space="preserve">Dinesh S</t>
  </si>
  <si>
    <t xml:space="preserve">dinesh.30@mail.com</t>
  </si>
  <si>
    <t xml:space="preserve">9868927867</t>
  </si>
  <si>
    <t xml:space="preserve">Keerthi Iyer</t>
  </si>
  <si>
    <t xml:space="preserve">keerthi.31@mail.com</t>
  </si>
  <si>
    <t xml:space="preserve">9623192278</t>
  </si>
  <si>
    <t xml:space="preserve">Ganesh Menon</t>
  </si>
  <si>
    <t xml:space="preserve">ganesh.32@mail.com</t>
  </si>
  <si>
    <t xml:space="preserve">9482912221</t>
  </si>
  <si>
    <t xml:space="preserve">Bhavya Das</t>
  </si>
  <si>
    <t xml:space="preserve">bhavya.33@mail.com</t>
  </si>
  <si>
    <t xml:space="preserve">9417241432</t>
  </si>
  <si>
    <t xml:space="preserve">Sathish Kumar</t>
  </si>
  <si>
    <t xml:space="preserve">sathish.34@mail.com</t>
  </si>
  <si>
    <t xml:space="preserve">9936442127</t>
  </si>
  <si>
    <t xml:space="preserve">Nandini S</t>
  </si>
  <si>
    <t xml:space="preserve">nandini.35@mail.com</t>
  </si>
  <si>
    <t xml:space="preserve">9676168666</t>
  </si>
  <si>
    <t xml:space="preserve">Mohan R</t>
  </si>
  <si>
    <t xml:space="preserve">mohan.36@mail.com</t>
  </si>
  <si>
    <t xml:space="preserve">9960742147</t>
  </si>
  <si>
    <t xml:space="preserve">Asha Iyer</t>
  </si>
  <si>
    <t xml:space="preserve">asha.37@mail.com</t>
  </si>
  <si>
    <t xml:space="preserve">9387612212</t>
  </si>
  <si>
    <t xml:space="preserve">Senthil Reddy</t>
  </si>
  <si>
    <t xml:space="preserve">senthil.38@mail.com</t>
  </si>
  <si>
    <t xml:space="preserve">9775030454</t>
  </si>
  <si>
    <t xml:space="preserve">Ritu Reddy</t>
  </si>
  <si>
    <t xml:space="preserve">ritu.39@mail.com</t>
  </si>
  <si>
    <t xml:space="preserve">9139674064</t>
  </si>
  <si>
    <t xml:space="preserve">Lists &amp; Settings — edit these to customise every dropdown and rule</t>
  </si>
  <si>
    <t xml:space="preserve">Stage Order</t>
  </si>
  <si>
    <t xml:space="preserve">SLA (days in stage)</t>
  </si>
  <si>
    <t xml:space="preserve">Group</t>
  </si>
  <si>
    <t xml:space="preserve">Sources</t>
  </si>
  <si>
    <t xml:space="preserve">Recruiters</t>
  </si>
  <si>
    <t xml:space="preserve">Departments</t>
  </si>
  <si>
    <t xml:space="preserve">Locations</t>
  </si>
  <si>
    <t xml:space="preserve">Drop-off Stage</t>
  </si>
  <si>
    <t xml:space="preserve">Reach out &amp; share JD</t>
  </si>
  <si>
    <t xml:space="preserve">Complete phone screen</t>
  </si>
  <si>
    <t xml:space="preserve">Schedule / collect Tech R1 feedback</t>
  </si>
  <si>
    <t xml:space="preserve">Schedule / collect Tech R2 feedback</t>
  </si>
  <si>
    <t xml:space="preserve">HR discussion &amp; salary alignment</t>
  </si>
  <si>
    <t xml:space="preserve">Follow up on offer acceptance</t>
  </si>
  <si>
    <t xml:space="preserve">Pre-joining engagement &amp; docs</t>
  </si>
  <si>
    <t xml:space="preserve">Job Fair</t>
  </si>
  <si>
    <t xml:space="preserve">Hired</t>
  </si>
  <si>
    <t xml:space="preserve">Onboarding complete</t>
  </si>
  <si>
    <t xml:space="preserve">Internal</t>
  </si>
  <si>
    <t xml:space="preserve">Lost</t>
  </si>
  <si>
    <t xml:space="preserve">Close &amp; capture decline reason</t>
  </si>
  <si>
    <t xml:space="preserve">Send regret email</t>
  </si>
  <si>
    <t xml:space="preserve">Close &amp; capture reason</t>
  </si>
  <si>
    <t xml:space="preserve">Stage Order: position in the hiring funnel (0 = not part of funnel). Group: Active / Hired / Lost drives all status logic. SLA = max days a candidate should sit in that stage before being flagged.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</si>
</sst>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mmm\-yy"/>
    <numFmt numFmtId="168" formatCode="dd\-mmm\-yy"/>
    <numFmt numFmtId="169" formatCode="General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AF1FB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EAF1FB"/>
        <bgColor rgb="FFF2F2F2"/>
      </patternFill>
    </fill>
    <fill>
      <patternFill patternType="solid">
        <fgColor rgb="FFFFF9E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ont>
        <b val="1"/>
        <color rgb="FFC00000"/>
      </font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8AA64F"/>
      <rgbColor rgb="FF800080"/>
      <rgbColor rgb="FF4F81BD"/>
      <rgbColor rgb="FFD4A5A4"/>
      <rgbColor rgb="FF808080"/>
      <rgbColor rgb="FF93A9CE"/>
      <rgbColor rgb="FF9D3E3B"/>
      <rgbColor rgb="FFFFF9E5"/>
      <rgbColor rgb="FFEAF1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E7E6E6"/>
      <rgbColor rgb="FFD09493"/>
      <rgbColor rgb="FF7F7F7F"/>
      <rgbColor rgb="FFF8CBAD"/>
      <rgbColor rgb="FF2E75B6"/>
      <rgbColor rgb="FF33CCCC"/>
      <rgbColor rgb="FF99CC00"/>
      <rgbColor rgb="FFFFCC00"/>
      <rgbColor rgb="FFBF8F00"/>
      <rgbColor rgb="FFFF6600"/>
      <rgbColor rgb="FF725990"/>
      <rgbColor rgb="FF878787"/>
      <rgbColor rgb="FF1F3864"/>
      <rgbColor rgb="FF4299B0"/>
      <rgbColor rgb="FF003300"/>
      <rgbColor rgb="FF333300"/>
      <rgbColor rgb="FFBE4B48"/>
      <rgbColor rgb="FFAB4744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Reached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Dashboard!$B$17:$B$24</c:f>
              <c:strCache>
                <c:ptCount val="8"/>
                <c:pt idx="0">
                  <c:v>Sourced</c:v>
                </c:pt>
                <c:pt idx="1">
                  <c:v>Screening</c:v>
                </c:pt>
                <c:pt idx="2">
                  <c:v>Tech Round 1</c:v>
                </c:pt>
                <c:pt idx="3">
                  <c:v>Tech Round 2</c:v>
                </c:pt>
                <c:pt idx="4">
                  <c:v>HR Round</c:v>
                </c:pt>
                <c:pt idx="5">
                  <c:v>Offered</c:v>
                </c:pt>
                <c:pt idx="6">
                  <c:v>Offer Accepted</c:v>
                </c:pt>
                <c:pt idx="7">
                  <c:v>Joined</c:v>
                </c:pt>
              </c:strCache>
            </c:strRef>
          </c:cat>
          <c:val>
            <c:numRef>
              <c:f>Dashboard!$C$17:$C$24</c:f>
              <c:numCache>
                <c:formatCode>General</c:formatCode>
                <c:ptCount val="8"/>
                <c:pt idx="0">
                  <c:v>40</c:v>
                </c:pt>
                <c:pt idx="1">
                  <c:v>34</c:v>
                </c:pt>
                <c:pt idx="2">
                  <c:v>30</c:v>
                </c:pt>
                <c:pt idx="3">
                  <c:v>24</c:v>
                </c:pt>
                <c:pt idx="4">
                  <c:v>20</c:v>
                </c:pt>
                <c:pt idx="5">
                  <c:v>16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</c:ser>
        <c:gapWidth val="150"/>
        <c:overlap val="0"/>
        <c:axId val="86389359"/>
        <c:axId val="22653972"/>
      </c:barChart>
      <c:catAx>
        <c:axId val="863893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53972"/>
        <c:crosses val="autoZero"/>
        <c:auto val="1"/>
        <c:lblAlgn val="ctr"/>
        <c:lblOffset val="100"/>
        <c:noMultiLvlLbl val="0"/>
      </c:catAx>
      <c:valAx>
        <c:axId val="22653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89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Dashboard!C31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Dashboard!$B$32:$B$39</c:f>
              <c:strCache>
                <c:ptCount val="8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  <c:pt idx="3">
                  <c:v>Career Page</c:v>
                </c:pt>
                <c:pt idx="4">
                  <c:v>Indeed</c:v>
                </c:pt>
                <c:pt idx="5">
                  <c:v>Agency</c:v>
                </c:pt>
                <c:pt idx="6">
                  <c:v>Job Fair</c:v>
                </c:pt>
                <c:pt idx="7">
                  <c:v>Internal</c:v>
                </c:pt>
              </c:strCache>
            </c:strRef>
          </c:cat>
          <c:val>
            <c:numRef>
              <c:f>Dashboard!$C$32:$C$39</c:f>
              <c:numCache>
                <c:formatCode>General</c:formatCode>
                <c:ptCount val="8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Dashboard!C43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Dashboard!$C$44:$C$55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8</c:v>
                </c:pt>
                <c:pt idx="7">
                  <c:v>13</c:v>
                </c:pt>
                <c:pt idx="8">
                  <c:v>7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Dashboard!D43</c:f>
              <c:strCache>
                <c:ptCount val="1"/>
                <c:pt idx="0">
                  <c:v>Offers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Dashboard!$D$44:$D$55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Dashboard!E43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Dashboard!$E$44:$E$55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774484"/>
        <c:axId val="56251132"/>
      </c:lineChart>
      <c:catAx>
        <c:axId val="13774484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51132"/>
        <c:crosses val="autoZero"/>
        <c:auto val="1"/>
        <c:lblAlgn val="ctr"/>
        <c:lblOffset val="100"/>
        <c:noMultiLvlLbl val="0"/>
      </c:catAx>
      <c:valAx>
        <c:axId val="56251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74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70560</xdr:rowOff>
    </xdr:from>
    <xdr:to>
      <xdr:col>19</xdr:col>
      <xdr:colOff>149760</xdr:colOff>
      <xdr:row>14</xdr:row>
      <xdr:rowOff>92880</xdr:rowOff>
    </xdr:to>
    <xdr:graphicFrame>
      <xdr:nvGraphicFramePr>
        <xdr:cNvPr id="0" name="Chart 1"/>
        <xdr:cNvGraphicFramePr/>
      </xdr:nvGraphicFramePr>
      <xdr:xfrm>
        <a:off x="93042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70560</xdr:rowOff>
    </xdr:from>
    <xdr:to>
      <xdr:col>19</xdr:col>
      <xdr:colOff>149760</xdr:colOff>
      <xdr:row>34</xdr:row>
      <xdr:rowOff>92520</xdr:rowOff>
    </xdr:to>
    <xdr:graphicFrame>
      <xdr:nvGraphicFramePr>
        <xdr:cNvPr id="1" name="Chart 2"/>
        <xdr:cNvGraphicFramePr/>
      </xdr:nvGraphicFramePr>
      <xdr:xfrm>
        <a:off x="9304200" y="4381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40</xdr:row>
      <xdr:rowOff>70200</xdr:rowOff>
    </xdr:from>
    <xdr:to>
      <xdr:col>19</xdr:col>
      <xdr:colOff>149760</xdr:colOff>
      <xdr:row>55</xdr:row>
      <xdr:rowOff>92520</xdr:rowOff>
    </xdr:to>
    <xdr:graphicFrame>
      <xdr:nvGraphicFramePr>
        <xdr:cNvPr id="2" name="Chart 3"/>
        <xdr:cNvGraphicFramePr/>
      </xdr:nvGraphicFramePr>
      <xdr:xfrm>
        <a:off x="9304200" y="8381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7.75" hidden="false" customHeight="true" outlineLevel="0" collapsed="false">
      <c r="B5" s="4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27.75" hidden="false" customHeight="true" outlineLevel="0" collapsed="false">
      <c r="B8" s="4" t="s">
        <v>5</v>
      </c>
    </row>
    <row r="9" customFormat="false" ht="27.75" hidden="false" customHeight="true" outlineLevel="0" collapsed="false">
      <c r="B9" s="4" t="s">
        <v>6</v>
      </c>
    </row>
    <row r="10" customFormat="false" ht="27.75" hidden="false" customHeight="true" outlineLevel="0" collapsed="false">
      <c r="B10" s="4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5" t="s">
        <v>8</v>
      </c>
    </row>
    <row r="13" customFormat="false" ht="27.7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5" t="s">
        <v>14</v>
      </c>
    </row>
    <row r="20" customFormat="false" ht="27.75" hidden="false" customHeight="tru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27.75" hidden="false" customHeight="true" outlineLevel="0" collapsed="false">
      <c r="B23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11" min="8" style="0" width="12"/>
    <col collapsed="false" customWidth="true" hidden="false" outlineLevel="0" max="12" min="12" style="0" width="3"/>
    <col collapsed="false" customWidth="true" hidden="false" outlineLevel="0" max="13" min="13" style="0" width="14"/>
    <col collapsed="false" customWidth="true" hidden="false" outlineLevel="0" max="14" min="14" style="0" width="12"/>
  </cols>
  <sheetData>
    <row r="2" customFormat="false" ht="24.45" hidden="false" customHeight="false" outlineLevel="0" collapsed="false">
      <c r="B2" s="7" t="s">
        <v>19</v>
      </c>
    </row>
    <row r="3" customFormat="false" ht="15" hidden="false" customHeight="false" outlineLevel="0" collapsed="false">
      <c r="B3" s="8" t="str">
        <f aca="true">"Auto-refreshed • Report as of "&amp;TEXT(TODAY(),"dd-mmm-yyyy")</f>
        <v>Auto-refreshed • Report as of 15-Oct-2026</v>
      </c>
    </row>
    <row r="5" customFormat="false" ht="15" hidden="false" customHeight="false" outlineLevel="0" collapsed="false">
      <c r="B5" s="9" t="s">
        <v>20</v>
      </c>
      <c r="C5" s="9"/>
      <c r="D5" s="9" t="s">
        <v>21</v>
      </c>
      <c r="E5" s="9"/>
      <c r="G5" s="9" t="s">
        <v>22</v>
      </c>
      <c r="H5" s="9"/>
      <c r="I5" s="9" t="s">
        <v>23</v>
      </c>
      <c r="J5" s="9"/>
    </row>
    <row r="6" customFormat="false" ht="30" hidden="false" customHeight="true" outlineLevel="0" collapsed="false">
      <c r="B6" s="10" t="n">
        <f aca="false">COUNTIF(Candidates!$B$2:$B$501,"?*")</f>
        <v>40</v>
      </c>
      <c r="C6" s="10"/>
      <c r="D6" s="10" t="n">
        <f aca="false">COUNTIF(Candidates!$M$2:$M$501,"Active")</f>
        <v>27</v>
      </c>
      <c r="E6" s="10"/>
      <c r="G6" s="10" t="n">
        <f aca="false">COUNTIF(Candidates!$T$2:$T$501,"&lt;&gt;")</f>
        <v>16</v>
      </c>
      <c r="H6" s="10"/>
      <c r="I6" s="10" t="n">
        <f aca="false">COUNTIF(Candidates!$K$2:$K$501,"Joined")</f>
        <v>6</v>
      </c>
      <c r="J6" s="10"/>
    </row>
    <row r="8" customFormat="false" ht="15" hidden="false" customHeight="false" outlineLevel="0" collapsed="false">
      <c r="B8" s="9" t="s">
        <v>24</v>
      </c>
      <c r="C8" s="9"/>
      <c r="D8" s="9" t="s">
        <v>25</v>
      </c>
      <c r="E8" s="9"/>
      <c r="G8" s="9" t="s">
        <v>26</v>
      </c>
      <c r="H8" s="9"/>
      <c r="I8" s="9" t="s">
        <v>27</v>
      </c>
      <c r="J8" s="9"/>
    </row>
    <row r="9" customFormat="false" ht="30" hidden="false" customHeight="true" outlineLevel="0" collapsed="false">
      <c r="B9" s="11" t="n">
        <f aca="false">IFERROR((COUNTIF(Candidates!$K$2:$K$501,"Offer Accepted")+COUNTIF(Candidates!$K$2:$K$501,"Joined"))/(COUNTIF(Candidates!$K$2:$K$501,"Offer Accepted")+COUNTIF(Candidates!$K$2:$K$501,"Joined")+COUNTIF(Candidates!$K$2:$K$501,"Offer Declined")),0)</f>
        <v>0.833333333333333</v>
      </c>
      <c r="C9" s="11"/>
      <c r="D9" s="10" t="n">
        <f aca="false">IFERROR(AVERAGE(Candidates!$AD$2:$AD$501),0)</f>
        <v>54.3333333333333</v>
      </c>
      <c r="E9" s="10"/>
      <c r="G9" s="10" t="n">
        <f aca="false">IFERROR(AVERAGE(Candidates!$AC$2:$AC$501),0)</f>
        <v>23.875</v>
      </c>
      <c r="H9" s="10"/>
      <c r="I9" s="12" t="n">
        <f aca="false">COUNTIF(Candidates!$Z$2:$Z$501,"BREACH")</f>
        <v>14</v>
      </c>
      <c r="J9" s="12"/>
    </row>
    <row r="11" customFormat="false" ht="15" hidden="false" customHeight="false" outlineLevel="0" collapsed="false">
      <c r="B11" s="9" t="s">
        <v>28</v>
      </c>
      <c r="C11" s="9"/>
      <c r="D11" s="9" t="s">
        <v>29</v>
      </c>
      <c r="E11" s="9"/>
      <c r="G11" s="9" t="s">
        <v>30</v>
      </c>
      <c r="H11" s="9"/>
      <c r="I11" s="9" t="s">
        <v>31</v>
      </c>
      <c r="J11" s="9"/>
    </row>
    <row r="12" customFormat="false" ht="30" hidden="false" customHeight="true" outlineLevel="0" collapsed="false">
      <c r="B12" s="10" t="n">
        <f aca="false">COUNTIF(Requisitions!$S$2:$S$101,"Open")+COUNTIF(Requisitions!$S$2:$S$101,"Overdue")+COUNTIF(Requisitions!$S$2:$S$101,"No Pipeline")</f>
        <v>3</v>
      </c>
      <c r="C12" s="10"/>
      <c r="D12" s="10" t="n">
        <f aca="false">SUM(Requisitions!$O$2:$O$101)</f>
        <v>5</v>
      </c>
      <c r="E12" s="10"/>
      <c r="G12" s="12" t="n">
        <f aca="false">COUNTIF(Requisitions!$S$2:$S$101,"Overdue")</f>
        <v>1</v>
      </c>
      <c r="H12" s="12"/>
      <c r="I12" s="11" t="n">
        <f aca="false">IFERROR(AVERAGE(Candidates!$V$2:$V$501),0)</f>
        <v>0.372562669146134</v>
      </c>
      <c r="J12" s="11"/>
    </row>
    <row r="15" customFormat="false" ht="15" hidden="false" customHeight="false" outlineLevel="0" collapsed="false">
      <c r="B15" s="13" t="s">
        <v>32</v>
      </c>
      <c r="G15" s="13" t="s">
        <v>33</v>
      </c>
    </row>
    <row r="16" customFormat="false" ht="15" hidden="false" customHeight="false" outlineLevel="0" collapsed="false">
      <c r="B16" s="14" t="s">
        <v>34</v>
      </c>
      <c r="C16" s="14" t="s">
        <v>35</v>
      </c>
      <c r="D16" s="14" t="s">
        <v>36</v>
      </c>
      <c r="E16" s="14" t="s">
        <v>37</v>
      </c>
      <c r="G16" s="14" t="s">
        <v>34</v>
      </c>
      <c r="H16" s="14" t="s">
        <v>38</v>
      </c>
      <c r="I16" s="14" t="s">
        <v>39</v>
      </c>
    </row>
    <row r="17" customFormat="false" ht="15" hidden="false" customHeight="false" outlineLevel="0" collapsed="false">
      <c r="B17" s="15" t="s">
        <v>40</v>
      </c>
      <c r="C17" s="15" t="n">
        <f aca="false">COUNTIF(Candidates!$AE$2:$AE$501,"&gt;="&amp;INDEX(Lists!$B$4:$B$14,MATCH(B17,Lists!$A$4:$A$14,0)))</f>
        <v>40</v>
      </c>
      <c r="D17" s="16" t="n">
        <f aca="false">IFERROR(C17/$C$17,0)</f>
        <v>1</v>
      </c>
      <c r="E17" s="16"/>
      <c r="G17" s="15" t="s">
        <v>40</v>
      </c>
      <c r="H17" s="15" t="n">
        <f aca="false">COUNTIF(Candidates!$K$2:$K$501,G17)</f>
        <v>4</v>
      </c>
      <c r="I17" s="15" t="n">
        <f aca="false">COUNTIFS(Candidates!$K$2:$K$501,G17,Candidates!$Z$2:$Z$501,"BREACH")</f>
        <v>2</v>
      </c>
    </row>
    <row r="18" customFormat="false" ht="15" hidden="false" customHeight="false" outlineLevel="0" collapsed="false">
      <c r="B18" s="15" t="s">
        <v>41</v>
      </c>
      <c r="C18" s="15" t="n">
        <f aca="false">COUNTIF(Candidates!$AE$2:$AE$501,"&gt;="&amp;INDEX(Lists!$B$4:$B$14,MATCH(B18,Lists!$A$4:$A$14,0)))</f>
        <v>34</v>
      </c>
      <c r="D18" s="16" t="n">
        <f aca="false">IFERROR(C18/$C$17,0)</f>
        <v>0.85</v>
      </c>
      <c r="E18" s="16" t="n">
        <f aca="false">IFERROR(C18/C17,0)</f>
        <v>0.85</v>
      </c>
      <c r="G18" s="15" t="s">
        <v>41</v>
      </c>
      <c r="H18" s="15" t="n">
        <f aca="false">COUNTIF(Candidates!$K$2:$K$501,G18)</f>
        <v>4</v>
      </c>
      <c r="I18" s="15" t="n">
        <f aca="false">COUNTIFS(Candidates!$K$2:$K$501,G18,Candidates!$Z$2:$Z$501,"BREACH")</f>
        <v>3</v>
      </c>
    </row>
    <row r="19" customFormat="false" ht="15" hidden="false" customHeight="false" outlineLevel="0" collapsed="false">
      <c r="B19" s="15" t="s">
        <v>42</v>
      </c>
      <c r="C19" s="15" t="n">
        <f aca="false">COUNTIF(Candidates!$AE$2:$AE$501,"&gt;="&amp;INDEX(Lists!$B$4:$B$14,MATCH(B19,Lists!$A$4:$A$14,0)))</f>
        <v>30</v>
      </c>
      <c r="D19" s="16" t="n">
        <f aca="false">IFERROR(C19/$C$17,0)</f>
        <v>0.75</v>
      </c>
      <c r="E19" s="16" t="n">
        <f aca="false">IFERROR(C19/C18,0)</f>
        <v>0.882352941176471</v>
      </c>
      <c r="G19" s="15" t="s">
        <v>42</v>
      </c>
      <c r="H19" s="15" t="n">
        <f aca="false">COUNTIF(Candidates!$K$2:$K$501,G19)</f>
        <v>5</v>
      </c>
      <c r="I19" s="15" t="n">
        <f aca="false">COUNTIFS(Candidates!$K$2:$K$501,G19,Candidates!$Z$2:$Z$501,"BREACH")</f>
        <v>0</v>
      </c>
    </row>
    <row r="20" customFormat="false" ht="15" hidden="false" customHeight="false" outlineLevel="0" collapsed="false">
      <c r="B20" s="15" t="s">
        <v>43</v>
      </c>
      <c r="C20" s="15" t="n">
        <f aca="false">COUNTIF(Candidates!$AE$2:$AE$501,"&gt;="&amp;INDEX(Lists!$B$4:$B$14,MATCH(B20,Lists!$A$4:$A$14,0)))</f>
        <v>24</v>
      </c>
      <c r="D20" s="16" t="n">
        <f aca="false">IFERROR(C20/$C$17,0)</f>
        <v>0.6</v>
      </c>
      <c r="E20" s="16" t="n">
        <f aca="false">IFERROR(C20/C19,0)</f>
        <v>0.8</v>
      </c>
      <c r="G20" s="15" t="s">
        <v>43</v>
      </c>
      <c r="H20" s="15" t="n">
        <f aca="false">COUNTIF(Candidates!$K$2:$K$501,G20)</f>
        <v>2</v>
      </c>
      <c r="I20" s="15" t="n">
        <f aca="false">COUNTIFS(Candidates!$K$2:$K$501,G20,Candidates!$Z$2:$Z$501,"BREACH")</f>
        <v>0</v>
      </c>
    </row>
    <row r="21" customFormat="false" ht="15" hidden="false" customHeight="false" outlineLevel="0" collapsed="false">
      <c r="B21" s="15" t="s">
        <v>44</v>
      </c>
      <c r="C21" s="15" t="n">
        <f aca="false">COUNTIF(Candidates!$AE$2:$AE$501,"&gt;="&amp;INDEX(Lists!$B$4:$B$14,MATCH(B21,Lists!$A$4:$A$14,0)))</f>
        <v>20</v>
      </c>
      <c r="D21" s="16" t="n">
        <f aca="false">IFERROR(C21/$C$17,0)</f>
        <v>0.5</v>
      </c>
      <c r="E21" s="16" t="n">
        <f aca="false">IFERROR(C21/C20,0)</f>
        <v>0.833333333333333</v>
      </c>
      <c r="G21" s="15" t="s">
        <v>44</v>
      </c>
      <c r="H21" s="15" t="n">
        <f aca="false">COUNTIF(Candidates!$K$2:$K$501,G21)</f>
        <v>4</v>
      </c>
      <c r="I21" s="15" t="n">
        <f aca="false">COUNTIFS(Candidates!$K$2:$K$501,G21,Candidates!$Z$2:$Z$501,"BREACH")</f>
        <v>3</v>
      </c>
    </row>
    <row r="22" customFormat="false" ht="15" hidden="false" customHeight="false" outlineLevel="0" collapsed="false">
      <c r="B22" s="15" t="s">
        <v>45</v>
      </c>
      <c r="C22" s="15" t="n">
        <f aca="false">COUNTIF(Candidates!$AE$2:$AE$501,"&gt;="&amp;INDEX(Lists!$B$4:$B$14,MATCH(B22,Lists!$A$4:$A$14,0)))</f>
        <v>16</v>
      </c>
      <c r="D22" s="16" t="n">
        <f aca="false">IFERROR(C22/$C$17,0)</f>
        <v>0.4</v>
      </c>
      <c r="E22" s="16" t="n">
        <f aca="false">IFERROR(C22/C21,0)</f>
        <v>0.8</v>
      </c>
      <c r="G22" s="15" t="s">
        <v>45</v>
      </c>
      <c r="H22" s="15" t="n">
        <f aca="false">COUNTIF(Candidates!$K$2:$K$501,G22)</f>
        <v>4</v>
      </c>
      <c r="I22" s="15" t="n">
        <f aca="false">COUNTIFS(Candidates!$K$2:$K$501,G22,Candidates!$Z$2:$Z$501,"BREACH")</f>
        <v>4</v>
      </c>
    </row>
    <row r="23" customFormat="false" ht="15" hidden="false" customHeight="false" outlineLevel="0" collapsed="false">
      <c r="B23" s="15" t="s">
        <v>46</v>
      </c>
      <c r="C23" s="15" t="n">
        <f aca="false">COUNTIF(Candidates!$AE$2:$AE$501,"&gt;="&amp;INDEX(Lists!$B$4:$B$14,MATCH(B23,Lists!$A$4:$A$14,0)))</f>
        <v>10</v>
      </c>
      <c r="D23" s="16" t="n">
        <f aca="false">IFERROR(C23/$C$17,0)</f>
        <v>0.25</v>
      </c>
      <c r="E23" s="16" t="n">
        <f aca="false">IFERROR(C23/C22,0)</f>
        <v>0.625</v>
      </c>
      <c r="G23" s="15" t="s">
        <v>46</v>
      </c>
      <c r="H23" s="15" t="n">
        <f aca="false">COUNTIF(Candidates!$K$2:$K$501,G23)</f>
        <v>4</v>
      </c>
      <c r="I23" s="15" t="n">
        <f aca="false">COUNTIFS(Candidates!$K$2:$K$501,G23,Candidates!$Z$2:$Z$501,"BREACH")</f>
        <v>2</v>
      </c>
    </row>
    <row r="24" customFormat="false" ht="15" hidden="false" customHeight="false" outlineLevel="0" collapsed="false">
      <c r="B24" s="15" t="s">
        <v>23</v>
      </c>
      <c r="C24" s="15" t="n">
        <f aca="false">COUNTIF(Candidates!$AE$2:$AE$501,"&gt;="&amp;INDEX(Lists!$B$4:$B$14,MATCH(B24,Lists!$A$4:$A$14,0)))</f>
        <v>6</v>
      </c>
      <c r="D24" s="16" t="n">
        <f aca="false">IFERROR(C24/$C$17,0)</f>
        <v>0.15</v>
      </c>
      <c r="E24" s="16" t="n">
        <f aca="false">IFERROR(C24/C23,0)</f>
        <v>0.6</v>
      </c>
      <c r="G24" s="15" t="s">
        <v>23</v>
      </c>
      <c r="H24" s="15" t="n">
        <f aca="false">COUNTIF(Candidates!$K$2:$K$501,G24)</f>
        <v>6</v>
      </c>
      <c r="I24" s="15" t="n">
        <f aca="false">COUNTIFS(Candidates!$K$2:$K$501,G24,Candidates!$Z$2:$Z$501,"BREACH")</f>
        <v>0</v>
      </c>
    </row>
    <row r="25" customFormat="false" ht="15" hidden="false" customHeight="false" outlineLevel="0" collapsed="false">
      <c r="G25" s="15" t="s">
        <v>47</v>
      </c>
      <c r="H25" s="15" t="n">
        <f aca="false">COUNTIF(Candidates!$K$2:$K$501,G25)</f>
        <v>2</v>
      </c>
      <c r="I25" s="15" t="n">
        <f aca="false">COUNTIFS(Candidates!$K$2:$K$501,G25,Candidates!$Z$2:$Z$501,"BREACH")</f>
        <v>0</v>
      </c>
    </row>
    <row r="26" customFormat="false" ht="15" hidden="false" customHeight="false" outlineLevel="0" collapsed="false">
      <c r="G26" s="15" t="s">
        <v>48</v>
      </c>
      <c r="H26" s="15" t="n">
        <f aca="false">COUNTIF(Candidates!$K$2:$K$501,G26)</f>
        <v>4</v>
      </c>
      <c r="I26" s="15" t="n">
        <f aca="false">COUNTIFS(Candidates!$K$2:$K$501,G26,Candidates!$Z$2:$Z$501,"BREACH")</f>
        <v>0</v>
      </c>
    </row>
    <row r="27" customFormat="false" ht="15" hidden="false" customHeight="false" outlineLevel="0" collapsed="false">
      <c r="G27" s="15" t="s">
        <v>49</v>
      </c>
      <c r="H27" s="15" t="n">
        <f aca="false">COUNTIF(Candidates!$K$2:$K$501,G27)</f>
        <v>1</v>
      </c>
      <c r="I27" s="15" t="n">
        <f aca="false">COUNTIFS(Candidates!$K$2:$K$501,G27,Candidates!$Z$2:$Z$501,"BREACH")</f>
        <v>0</v>
      </c>
    </row>
    <row r="30" customFormat="false" ht="15" hidden="false" customHeight="false" outlineLevel="0" collapsed="false">
      <c r="B30" s="13" t="s">
        <v>50</v>
      </c>
      <c r="G30" s="13" t="s">
        <v>51</v>
      </c>
    </row>
    <row r="31" customFormat="false" ht="15" hidden="false" customHeight="false" outlineLevel="0" collapsed="false">
      <c r="B31" s="14" t="s">
        <v>52</v>
      </c>
      <c r="C31" s="14" t="s">
        <v>38</v>
      </c>
      <c r="D31" s="14" t="s">
        <v>53</v>
      </c>
      <c r="E31" s="14" t="s">
        <v>54</v>
      </c>
      <c r="G31" s="14" t="s">
        <v>55</v>
      </c>
      <c r="H31" s="14" t="s">
        <v>38</v>
      </c>
      <c r="I31" s="14" t="s">
        <v>56</v>
      </c>
      <c r="J31" s="14" t="s">
        <v>57</v>
      </c>
      <c r="K31" s="14" t="s">
        <v>23</v>
      </c>
    </row>
    <row r="32" customFormat="false" ht="15" hidden="false" customHeight="false" outlineLevel="0" collapsed="false">
      <c r="B32" s="15" t="str">
        <f aca="false">Lists!G4</f>
        <v>LinkedIn</v>
      </c>
      <c r="C32" s="15" t="n">
        <f aca="false">IF(B32="","",COUNTIF(Candidates!$H$2:$H$501,B32))</f>
        <v>7</v>
      </c>
      <c r="D32" s="15" t="n">
        <f aca="false">IF(B32="","",COUNTIFS(Candidates!$H$2:$H$501,B32,Candidates!$K$2:$K$501,"Joined"))</f>
        <v>1</v>
      </c>
      <c r="E32" s="16" t="n">
        <f aca="false">IF(B32="","",IFERROR(D32/C32,0))</f>
        <v>0.142857142857143</v>
      </c>
      <c r="G32" s="15" t="str">
        <f aca="false">Lists!H4</f>
        <v>Pravin Christo</v>
      </c>
      <c r="H32" s="15" t="n">
        <f aca="false">IF(G32="","",COUNTIF(Candidates!$I$2:$I$501,G32))</f>
        <v>14</v>
      </c>
      <c r="I32" s="15" t="n">
        <f aca="false">IF(G32="","",COUNTIFS(Candidates!$I$2:$I$501,G32,Candidates!$M$2:$M$501,"Active"))</f>
        <v>10</v>
      </c>
      <c r="J32" s="15" t="n">
        <f aca="false">IF(G32="","",COUNTIFS(Candidates!$I$2:$I$501,G32,Candidates!$T$2:$T$501,"&lt;&gt;"))</f>
        <v>5</v>
      </c>
      <c r="K32" s="15" t="n">
        <f aca="false">IF(G32="","",COUNTIFS(Candidates!$I$2:$I$501,G32,Candidates!$K$2:$K$501,"Joined"))</f>
        <v>2</v>
      </c>
    </row>
    <row r="33" customFormat="false" ht="15" hidden="false" customHeight="false" outlineLevel="0" collapsed="false">
      <c r="B33" s="15" t="str">
        <f aca="false">Lists!G5</f>
        <v>Naukri</v>
      </c>
      <c r="C33" s="15" t="n">
        <f aca="false">IF(B33="","",COUNTIF(Candidates!$H$2:$H$501,B33))</f>
        <v>10</v>
      </c>
      <c r="D33" s="15" t="n">
        <f aca="false">IF(B33="","",COUNTIFS(Candidates!$H$2:$H$501,B33,Candidates!$K$2:$K$501,"Joined"))</f>
        <v>1</v>
      </c>
      <c r="E33" s="16" t="n">
        <f aca="false">IF(B33="","",IFERROR(D33/C33,0))</f>
        <v>0.1</v>
      </c>
      <c r="G33" s="15" t="str">
        <f aca="false">Lists!H5</f>
        <v>Recruiter 2</v>
      </c>
      <c r="H33" s="15" t="n">
        <f aca="false">IF(G33="","",COUNTIF(Candidates!$I$2:$I$501,G33))</f>
        <v>13</v>
      </c>
      <c r="I33" s="15" t="n">
        <f aca="false">IF(G33="","",COUNTIFS(Candidates!$I$2:$I$501,G33,Candidates!$M$2:$M$501,"Active"))</f>
        <v>8</v>
      </c>
      <c r="J33" s="15" t="n">
        <f aca="false">IF(G33="","",COUNTIFS(Candidates!$I$2:$I$501,G33,Candidates!$T$2:$T$501,"&lt;&gt;"))</f>
        <v>8</v>
      </c>
      <c r="K33" s="15" t="n">
        <f aca="false">IF(G33="","",COUNTIFS(Candidates!$I$2:$I$501,G33,Candidates!$K$2:$K$501,"Joined"))</f>
        <v>3</v>
      </c>
    </row>
    <row r="34" customFormat="false" ht="15" hidden="false" customHeight="false" outlineLevel="0" collapsed="false">
      <c r="B34" s="15" t="str">
        <f aca="false">Lists!G6</f>
        <v>Referral</v>
      </c>
      <c r="C34" s="15" t="n">
        <f aca="false">IF(B34="","",COUNTIF(Candidates!$H$2:$H$501,B34))</f>
        <v>5</v>
      </c>
      <c r="D34" s="15" t="n">
        <f aca="false">IF(B34="","",COUNTIFS(Candidates!$H$2:$H$501,B34,Candidates!$K$2:$K$501,"Joined"))</f>
        <v>0</v>
      </c>
      <c r="E34" s="16" t="n">
        <f aca="false">IF(B34="","",IFERROR(D34/C34,0))</f>
        <v>0</v>
      </c>
      <c r="G34" s="15" t="str">
        <f aca="false">Lists!H6</f>
        <v>Recruiter 3</v>
      </c>
      <c r="H34" s="15" t="n">
        <f aca="false">IF(G34="","",COUNTIF(Candidates!$I$2:$I$501,G34))</f>
        <v>13</v>
      </c>
      <c r="I34" s="15" t="n">
        <f aca="false">IF(G34="","",COUNTIFS(Candidates!$I$2:$I$501,G34,Candidates!$M$2:$M$501,"Active"))</f>
        <v>9</v>
      </c>
      <c r="J34" s="15" t="n">
        <f aca="false">IF(G34="","",COUNTIFS(Candidates!$I$2:$I$501,G34,Candidates!$T$2:$T$501,"&lt;&gt;"))</f>
        <v>3</v>
      </c>
      <c r="K34" s="15" t="n">
        <f aca="false">IF(G34="","",COUNTIFS(Candidates!$I$2:$I$501,G34,Candidates!$K$2:$K$501,"Joined"))</f>
        <v>1</v>
      </c>
    </row>
    <row r="35" customFormat="false" ht="15" hidden="false" customHeight="false" outlineLevel="0" collapsed="false">
      <c r="B35" s="15" t="str">
        <f aca="false">Lists!G7</f>
        <v>Career Page</v>
      </c>
      <c r="C35" s="15" t="n">
        <f aca="false">IF(B35="","",COUNTIF(Candidates!$H$2:$H$501,B35))</f>
        <v>4</v>
      </c>
      <c r="D35" s="15" t="n">
        <f aca="false">IF(B35="","",COUNTIFS(Candidates!$H$2:$H$501,B35,Candidates!$K$2:$K$501,"Joined"))</f>
        <v>2</v>
      </c>
      <c r="E35" s="16" t="n">
        <f aca="false">IF(B35="","",IFERROR(D35/C35,0))</f>
        <v>0.5</v>
      </c>
    </row>
    <row r="36" customFormat="false" ht="15" hidden="false" customHeight="false" outlineLevel="0" collapsed="false">
      <c r="B36" s="15" t="str">
        <f aca="false">Lists!G8</f>
        <v>Indeed</v>
      </c>
      <c r="C36" s="15" t="n">
        <f aca="false">IF(B36="","",COUNTIF(Candidates!$H$2:$H$501,B36))</f>
        <v>10</v>
      </c>
      <c r="D36" s="15" t="n">
        <f aca="false">IF(B36="","",COUNTIFS(Candidates!$H$2:$H$501,B36,Candidates!$K$2:$K$501,"Joined"))</f>
        <v>1</v>
      </c>
      <c r="E36" s="16" t="n">
        <f aca="false">IF(B36="","",IFERROR(D36/C36,0))</f>
        <v>0.1</v>
      </c>
    </row>
    <row r="37" customFormat="false" ht="15" hidden="false" customHeight="false" outlineLevel="0" collapsed="false">
      <c r="B37" s="15" t="str">
        <f aca="false">Lists!G9</f>
        <v>Agency</v>
      </c>
      <c r="C37" s="15" t="n">
        <f aca="false">IF(B37="","",COUNTIF(Candidates!$H$2:$H$501,B37))</f>
        <v>4</v>
      </c>
      <c r="D37" s="15" t="n">
        <f aca="false">IF(B37="","",COUNTIFS(Candidates!$H$2:$H$501,B37,Candidates!$K$2:$K$501,"Joined"))</f>
        <v>1</v>
      </c>
      <c r="E37" s="16" t="n">
        <f aca="false">IF(B37="","",IFERROR(D37/C37,0))</f>
        <v>0.25</v>
      </c>
    </row>
    <row r="38" customFormat="false" ht="15" hidden="false" customHeight="false" outlineLevel="0" collapsed="false">
      <c r="B38" s="15" t="str">
        <f aca="false">Lists!G10</f>
        <v>Job Fair</v>
      </c>
      <c r="C38" s="15" t="n">
        <f aca="false">IF(B38="","",COUNTIF(Candidates!$H$2:$H$501,B38))</f>
        <v>0</v>
      </c>
      <c r="D38" s="15" t="n">
        <f aca="false">IF(B38="","",COUNTIFS(Candidates!$H$2:$H$501,B38,Candidates!$K$2:$K$501,"Joined"))</f>
        <v>0</v>
      </c>
      <c r="E38" s="16" t="n">
        <f aca="false">IF(B38="","",IFERROR(D38/C38,0))</f>
        <v>0</v>
      </c>
    </row>
    <row r="39" customFormat="false" ht="15" hidden="false" customHeight="false" outlineLevel="0" collapsed="false">
      <c r="B39" s="15" t="str">
        <f aca="false">Lists!G11</f>
        <v>Internal</v>
      </c>
      <c r="C39" s="15" t="n">
        <f aca="false">IF(B39="","",COUNTIF(Candidates!$H$2:$H$501,B39))</f>
        <v>0</v>
      </c>
      <c r="D39" s="15" t="n">
        <f aca="false">IF(B39="","",COUNTIFS(Candidates!$H$2:$H$501,B39,Candidates!$K$2:$K$501,"Joined"))</f>
        <v>0</v>
      </c>
      <c r="E39" s="16" t="n">
        <f aca="false">IF(B39="","",IFERROR(D39/C39,0))</f>
        <v>0</v>
      </c>
    </row>
    <row r="42" customFormat="false" ht="15" hidden="false" customHeight="false" outlineLevel="0" collapsed="false">
      <c r="B42" s="13" t="s">
        <v>58</v>
      </c>
      <c r="G42" s="13" t="s">
        <v>59</v>
      </c>
    </row>
    <row r="43" customFormat="false" ht="15" hidden="false" customHeight="false" outlineLevel="0" collapsed="false">
      <c r="B43" s="14" t="s">
        <v>60</v>
      </c>
      <c r="C43" s="14" t="s">
        <v>61</v>
      </c>
      <c r="D43" s="14" t="s">
        <v>57</v>
      </c>
      <c r="E43" s="14" t="s">
        <v>23</v>
      </c>
      <c r="G43" s="14" t="s">
        <v>62</v>
      </c>
      <c r="H43" s="14" t="s">
        <v>63</v>
      </c>
      <c r="I43" s="17"/>
      <c r="J43" s="17"/>
      <c r="K43" s="17"/>
    </row>
    <row r="44" customFormat="false" ht="15" hidden="false" customHeight="false" outlineLevel="0" collapsed="false">
      <c r="B44" s="18" t="n">
        <f aca="true">DATE(YEAR(TODAY()),1,1)</f>
        <v>46023</v>
      </c>
      <c r="C44" s="15" t="n">
        <f aca="false">COUNTIFS(Candidates!$J$2:$J$501,"&gt;="&amp;$B44,Candidates!$J$2:$J$501,"&lt;"&amp;EDATE($B44,1))</f>
        <v>0</v>
      </c>
      <c r="D44" s="15" t="n">
        <f aca="false">COUNTIFS(Candidates!$T$2:$T$501,"&gt;="&amp;$B44,Candidates!$T$2:$T$501,"&lt;"&amp;EDATE($B44,1))</f>
        <v>0</v>
      </c>
      <c r="E44" s="15" t="n">
        <f aca="false">COUNTIFS(Candidates!$U$2:$U$501,"&gt;="&amp;$B44,Candidates!$U$2:$U$501,"&lt;"&amp;EDATE($B44,1))</f>
        <v>0</v>
      </c>
      <c r="G44" s="15" t="s">
        <v>64</v>
      </c>
      <c r="H44" s="15" t="n">
        <f aca="false">COUNTIF(Requisitions!$S$2:$S$101,G44)</f>
        <v>2</v>
      </c>
    </row>
    <row r="45" customFormat="false" ht="15" hidden="false" customHeight="false" outlineLevel="0" collapsed="false">
      <c r="B45" s="18" t="n">
        <f aca="true">DATE(YEAR(TODAY()),2,1)</f>
        <v>46054</v>
      </c>
      <c r="C45" s="15" t="n">
        <f aca="false">COUNTIFS(Candidates!$J$2:$J$501,"&gt;="&amp;$B45,Candidates!$J$2:$J$501,"&lt;"&amp;EDATE($B45,1))</f>
        <v>0</v>
      </c>
      <c r="D45" s="15" t="n">
        <f aca="false">COUNTIFS(Candidates!$T$2:$T$501,"&gt;="&amp;$B45,Candidates!$T$2:$T$501,"&lt;"&amp;EDATE($B45,1))</f>
        <v>0</v>
      </c>
      <c r="E45" s="15" t="n">
        <f aca="false">COUNTIFS(Candidates!$U$2:$U$501,"&gt;="&amp;$B45,Candidates!$U$2:$U$501,"&lt;"&amp;EDATE($B45,1))</f>
        <v>0</v>
      </c>
      <c r="G45" s="15" t="s">
        <v>65</v>
      </c>
      <c r="H45" s="15" t="n">
        <f aca="false">COUNTIF(Requisitions!$S$2:$S$101,G45)</f>
        <v>1</v>
      </c>
    </row>
    <row r="46" customFormat="false" ht="15" hidden="false" customHeight="false" outlineLevel="0" collapsed="false">
      <c r="B46" s="18" t="n">
        <f aca="true">DATE(YEAR(TODAY()),3,1)</f>
        <v>46082</v>
      </c>
      <c r="C46" s="15" t="n">
        <f aca="false">COUNTIFS(Candidates!$J$2:$J$501,"&gt;="&amp;$B46,Candidates!$J$2:$J$501,"&lt;"&amp;EDATE($B46,1))</f>
        <v>0</v>
      </c>
      <c r="D46" s="15" t="n">
        <f aca="false">COUNTIFS(Candidates!$T$2:$T$501,"&gt;="&amp;$B46,Candidates!$T$2:$T$501,"&lt;"&amp;EDATE($B46,1))</f>
        <v>0</v>
      </c>
      <c r="E46" s="15" t="n">
        <f aca="false">COUNTIFS(Candidates!$U$2:$U$501,"&gt;="&amp;$B46,Candidates!$U$2:$U$501,"&lt;"&amp;EDATE($B46,1))</f>
        <v>0</v>
      </c>
      <c r="G46" s="15" t="s">
        <v>66</v>
      </c>
      <c r="H46" s="15" t="n">
        <f aca="false">COUNTIF(Requisitions!$S$2:$S$101,G46)</f>
        <v>0</v>
      </c>
    </row>
    <row r="47" customFormat="false" ht="15" hidden="false" customHeight="false" outlineLevel="0" collapsed="false">
      <c r="B47" s="18" t="n">
        <f aca="true">DATE(YEAR(TODAY()),4,1)</f>
        <v>46113</v>
      </c>
      <c r="C47" s="15" t="n">
        <f aca="false">COUNTIFS(Candidates!$J$2:$J$501,"&gt;="&amp;$B47,Candidates!$J$2:$J$501,"&lt;"&amp;EDATE($B47,1))</f>
        <v>0</v>
      </c>
      <c r="D47" s="15" t="n">
        <f aca="false">COUNTIFS(Candidates!$T$2:$T$501,"&gt;="&amp;$B47,Candidates!$T$2:$T$501,"&lt;"&amp;EDATE($B47,1))</f>
        <v>0</v>
      </c>
      <c r="E47" s="15" t="n">
        <f aca="false">COUNTIFS(Candidates!$U$2:$U$501,"&gt;="&amp;$B47,Candidates!$U$2:$U$501,"&lt;"&amp;EDATE($B47,1))</f>
        <v>0</v>
      </c>
      <c r="G47" s="15" t="s">
        <v>67</v>
      </c>
      <c r="H47" s="15" t="n">
        <f aca="false">COUNTIF(Requisitions!$S$2:$S$101,G47)</f>
        <v>3</v>
      </c>
    </row>
    <row r="48" customFormat="false" ht="15" hidden="false" customHeight="false" outlineLevel="0" collapsed="false">
      <c r="B48" s="18" t="n">
        <f aca="true">DATE(YEAR(TODAY()),5,1)</f>
        <v>46143</v>
      </c>
      <c r="C48" s="15" t="n">
        <f aca="false">COUNTIFS(Candidates!$J$2:$J$501,"&gt;="&amp;$B48,Candidates!$J$2:$J$501,"&lt;"&amp;EDATE($B48,1))</f>
        <v>0</v>
      </c>
      <c r="D48" s="15" t="n">
        <f aca="false">COUNTIFS(Candidates!$T$2:$T$501,"&gt;="&amp;$B48,Candidates!$T$2:$T$501,"&lt;"&amp;EDATE($B48,1))</f>
        <v>0</v>
      </c>
      <c r="E48" s="15" t="n">
        <f aca="false">COUNTIFS(Candidates!$U$2:$U$501,"&gt;="&amp;$B48,Candidates!$U$2:$U$501,"&lt;"&amp;EDATE($B48,1))</f>
        <v>0</v>
      </c>
    </row>
    <row r="49" customFormat="false" ht="15" hidden="false" customHeight="false" outlineLevel="0" collapsed="false">
      <c r="B49" s="18" t="n">
        <f aca="true">DATE(YEAR(TODAY()),6,1)</f>
        <v>46174</v>
      </c>
      <c r="C49" s="15" t="n">
        <f aca="false">COUNTIFS(Candidates!$J$2:$J$501,"&gt;="&amp;$B49,Candidates!$J$2:$J$501,"&lt;"&amp;EDATE($B49,1))</f>
        <v>6</v>
      </c>
      <c r="D49" s="15" t="n">
        <f aca="false">COUNTIFS(Candidates!$T$2:$T$501,"&gt;="&amp;$B49,Candidates!$T$2:$T$501,"&lt;"&amp;EDATE($B49,1))</f>
        <v>0</v>
      </c>
      <c r="E49" s="15" t="n">
        <f aca="false">COUNTIFS(Candidates!$U$2:$U$501,"&gt;="&amp;$B49,Candidates!$U$2:$U$501,"&lt;"&amp;EDATE($B49,1))</f>
        <v>0</v>
      </c>
    </row>
    <row r="50" customFormat="false" ht="15" hidden="false" customHeight="false" outlineLevel="0" collapsed="false">
      <c r="B50" s="18" t="n">
        <f aca="true">DATE(YEAR(TODAY()),7,1)</f>
        <v>46204</v>
      </c>
      <c r="C50" s="15" t="n">
        <f aca="false">COUNTIFS(Candidates!$J$2:$J$501,"&gt;="&amp;$B50,Candidates!$J$2:$J$501,"&lt;"&amp;EDATE($B50,1))</f>
        <v>8</v>
      </c>
      <c r="D50" s="15" t="n">
        <f aca="false">COUNTIFS(Candidates!$T$2:$T$501,"&gt;="&amp;$B50,Candidates!$T$2:$T$501,"&lt;"&amp;EDATE($B50,1))</f>
        <v>1</v>
      </c>
      <c r="E50" s="15" t="n">
        <f aca="false">COUNTIFS(Candidates!$U$2:$U$501,"&gt;="&amp;$B50,Candidates!$U$2:$U$501,"&lt;"&amp;EDATE($B50,1))</f>
        <v>0</v>
      </c>
    </row>
    <row r="51" customFormat="false" ht="15" hidden="false" customHeight="false" outlineLevel="0" collapsed="false">
      <c r="B51" s="18" t="n">
        <f aca="true">DATE(YEAR(TODAY()),8,1)</f>
        <v>46235</v>
      </c>
      <c r="C51" s="15" t="n">
        <f aca="false">COUNTIFS(Candidates!$J$2:$J$501,"&gt;="&amp;$B51,Candidates!$J$2:$J$501,"&lt;"&amp;EDATE($B51,1))</f>
        <v>13</v>
      </c>
      <c r="D51" s="15" t="n">
        <f aca="false">COUNTIFS(Candidates!$T$2:$T$501,"&gt;="&amp;$B51,Candidates!$T$2:$T$501,"&lt;"&amp;EDATE($B51,1))</f>
        <v>5</v>
      </c>
      <c r="E51" s="15" t="n">
        <f aca="false">COUNTIFS(Candidates!$U$2:$U$501,"&gt;="&amp;$B51,Candidates!$U$2:$U$501,"&lt;"&amp;EDATE($B51,1))</f>
        <v>1</v>
      </c>
    </row>
    <row r="52" customFormat="false" ht="15" hidden="false" customHeight="false" outlineLevel="0" collapsed="false">
      <c r="B52" s="18" t="n">
        <f aca="true">DATE(YEAR(TODAY()),9,1)</f>
        <v>46266</v>
      </c>
      <c r="C52" s="15" t="n">
        <f aca="false">COUNTIFS(Candidates!$J$2:$J$501,"&gt;="&amp;$B52,Candidates!$J$2:$J$501,"&lt;"&amp;EDATE($B52,1))</f>
        <v>7</v>
      </c>
      <c r="D52" s="15" t="n">
        <f aca="false">COUNTIFS(Candidates!$T$2:$T$501,"&gt;="&amp;$B52,Candidates!$T$2:$T$501,"&lt;"&amp;EDATE($B52,1))</f>
        <v>5</v>
      </c>
      <c r="E52" s="15" t="n">
        <f aca="false">COUNTIFS(Candidates!$U$2:$U$501,"&gt;="&amp;$B52,Candidates!$U$2:$U$501,"&lt;"&amp;EDATE($B52,1))</f>
        <v>1</v>
      </c>
    </row>
    <row r="53" customFormat="false" ht="15" hidden="false" customHeight="false" outlineLevel="0" collapsed="false">
      <c r="B53" s="18" t="n">
        <f aca="true">DATE(YEAR(TODAY()),10,1)</f>
        <v>46296</v>
      </c>
      <c r="C53" s="15" t="n">
        <f aca="false">COUNTIFS(Candidates!$J$2:$J$501,"&gt;="&amp;$B53,Candidates!$J$2:$J$501,"&lt;"&amp;EDATE($B53,1))</f>
        <v>6</v>
      </c>
      <c r="D53" s="15" t="n">
        <f aca="false">COUNTIFS(Candidates!$T$2:$T$501,"&gt;="&amp;$B53,Candidates!$T$2:$T$501,"&lt;"&amp;EDATE($B53,1))</f>
        <v>5</v>
      </c>
      <c r="E53" s="15" t="n">
        <f aca="false">COUNTIFS(Candidates!$U$2:$U$501,"&gt;="&amp;$B53,Candidates!$U$2:$U$501,"&lt;"&amp;EDATE($B53,1))</f>
        <v>4</v>
      </c>
    </row>
    <row r="54" customFormat="false" ht="15" hidden="false" customHeight="false" outlineLevel="0" collapsed="false">
      <c r="B54" s="18" t="n">
        <f aca="true">DATE(YEAR(TODAY()),11,1)</f>
        <v>46327</v>
      </c>
      <c r="C54" s="15" t="n">
        <f aca="false">COUNTIFS(Candidates!$J$2:$J$501,"&gt;="&amp;$B54,Candidates!$J$2:$J$501,"&lt;"&amp;EDATE($B54,1))</f>
        <v>0</v>
      </c>
      <c r="D54" s="15" t="n">
        <f aca="false">COUNTIFS(Candidates!$T$2:$T$501,"&gt;="&amp;$B54,Candidates!$T$2:$T$501,"&lt;"&amp;EDATE($B54,1))</f>
        <v>0</v>
      </c>
      <c r="E54" s="15" t="n">
        <f aca="false">COUNTIFS(Candidates!$U$2:$U$501,"&gt;="&amp;$B54,Candidates!$U$2:$U$501,"&lt;"&amp;EDATE($B54,1))</f>
        <v>0</v>
      </c>
    </row>
    <row r="55" customFormat="false" ht="15" hidden="false" customHeight="false" outlineLevel="0" collapsed="false">
      <c r="B55" s="18" t="n">
        <f aca="true">DATE(YEAR(TODAY()),12,1)</f>
        <v>46357</v>
      </c>
      <c r="C55" s="15" t="n">
        <f aca="false">COUNTIFS(Candidates!$J$2:$J$501,"&gt;="&amp;$B55,Candidates!$J$2:$J$501,"&lt;"&amp;EDATE($B55,1))</f>
        <v>0</v>
      </c>
      <c r="D55" s="15" t="n">
        <f aca="false">COUNTIFS(Candidates!$T$2:$T$501,"&gt;="&amp;$B55,Candidates!$T$2:$T$501,"&lt;"&amp;EDATE($B55,1))</f>
        <v>0</v>
      </c>
      <c r="E55" s="15" t="n">
        <f aca="false">COUNTIFS(Candidates!$U$2:$U$501,"&gt;="&amp;$B55,Candidates!$U$2:$U$501,"&lt;"&amp;EDATE($B55,1))</f>
        <v>0</v>
      </c>
    </row>
  </sheetData>
  <mergeCells count="24">
    <mergeCell ref="B5:C5"/>
    <mergeCell ref="D5:E5"/>
    <mergeCell ref="G5:H5"/>
    <mergeCell ref="I5:J5"/>
    <mergeCell ref="B6:C6"/>
    <mergeCell ref="D6:E6"/>
    <mergeCell ref="G6:H6"/>
    <mergeCell ref="I6:J6"/>
    <mergeCell ref="B8:C8"/>
    <mergeCell ref="D8:E8"/>
    <mergeCell ref="G8:H8"/>
    <mergeCell ref="I8:J8"/>
    <mergeCell ref="B9:C9"/>
    <mergeCell ref="D9:E9"/>
    <mergeCell ref="G9:H9"/>
    <mergeCell ref="I9:J9"/>
    <mergeCell ref="B11:C11"/>
    <mergeCell ref="D11:E11"/>
    <mergeCell ref="G11:H11"/>
    <mergeCell ref="I11:J11"/>
    <mergeCell ref="B12:C12"/>
    <mergeCell ref="D12:E12"/>
    <mergeCell ref="G12:H12"/>
    <mergeCell ref="I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11"/>
  </cols>
  <sheetData>
    <row r="1" customFormat="false" ht="42" hidden="false" customHeight="true" outlineLevel="0" collapsed="false">
      <c r="A1" s="19" t="s">
        <v>68</v>
      </c>
      <c r="B1" s="19" t="s">
        <v>69</v>
      </c>
      <c r="C1" s="19" t="s">
        <v>70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55</v>
      </c>
      <c r="I1" s="19" t="s">
        <v>75</v>
      </c>
      <c r="J1" s="19" t="s">
        <v>76</v>
      </c>
      <c r="K1" s="20" t="s">
        <v>20</v>
      </c>
      <c r="L1" s="20" t="s">
        <v>21</v>
      </c>
      <c r="M1" s="20" t="s">
        <v>22</v>
      </c>
      <c r="N1" s="20" t="s">
        <v>23</v>
      </c>
      <c r="O1" s="20" t="s">
        <v>29</v>
      </c>
      <c r="P1" s="20" t="s">
        <v>77</v>
      </c>
      <c r="Q1" s="20" t="s">
        <v>78</v>
      </c>
      <c r="R1" s="20" t="s">
        <v>79</v>
      </c>
      <c r="S1" s="20" t="s">
        <v>62</v>
      </c>
    </row>
    <row r="2" customFormat="false" ht="15" hidden="false" customHeight="false" outlineLevel="0" collapsed="false">
      <c r="A2" s="21" t="s">
        <v>80</v>
      </c>
      <c r="B2" s="21" t="s">
        <v>81</v>
      </c>
      <c r="C2" s="21" t="s">
        <v>82</v>
      </c>
      <c r="D2" s="21" t="s">
        <v>83</v>
      </c>
      <c r="E2" s="21" t="s">
        <v>84</v>
      </c>
      <c r="F2" s="21" t="n">
        <v>3</v>
      </c>
      <c r="G2" s="21" t="s">
        <v>85</v>
      </c>
      <c r="H2" s="21" t="s">
        <v>86</v>
      </c>
      <c r="I2" s="22" t="n">
        <v>46174</v>
      </c>
      <c r="J2" s="22" t="n">
        <v>46295</v>
      </c>
      <c r="K2" s="23" t="n">
        <f aca="false">IF($A2="","",COUNTIF(Candidates!$E$2:$E$501,$A2))</f>
        <v>7</v>
      </c>
      <c r="L2" s="23" t="n">
        <f aca="false">IF($A2="","",COUNTIFS(Candidates!$E$2:$E$501,$A2,Candidates!$M$2:$M$501,"Active"))</f>
        <v>5</v>
      </c>
      <c r="M2" s="23" t="n">
        <f aca="false">IF($A2="","",COUNTIFS(Candidates!$E$2:$E$501,$A2,Candidates!$T$2:$T$501,"&lt;&gt;"))</f>
        <v>1</v>
      </c>
      <c r="N2" s="23" t="n">
        <f aca="false">IF($A2="","",COUNTIFS(Candidates!$E$2:$E$501,$A2,Candidates!$K$2:$K$501,"Joined"))</f>
        <v>0</v>
      </c>
      <c r="O2" s="23" t="n">
        <f aca="false">IF($A2="","",MAX($F2-$N2,0))</f>
        <v>3</v>
      </c>
      <c r="P2" s="24" t="n">
        <f aca="false">IF(OR($A2="",N($F2)=0),"",$N2/$F2)</f>
        <v>0</v>
      </c>
      <c r="Q2" s="23" t="n">
        <f aca="true">IF(OR($A2="",$I2=""),"",TODAY()-$I2)</f>
        <v>136</v>
      </c>
      <c r="R2" s="23" t="n">
        <f aca="true">IF(OR($A2="",$J2=""),"",$J2-TODAY())</f>
        <v>-15</v>
      </c>
      <c r="S2" s="25" t="str">
        <f aca="true">IF($A2="","",IF($O2=0,"Filled",IF(AND($J2&lt;&gt;"",TODAY()&gt;$J2),"Overdue",IF($L2=0,"No Pipeline","Open"))))</f>
        <v>Overdue</v>
      </c>
    </row>
    <row r="3" customFormat="false" ht="15" hidden="false" customHeight="false" outlineLevel="0" collapsed="false">
      <c r="A3" s="21" t="s">
        <v>87</v>
      </c>
      <c r="B3" s="21" t="s">
        <v>88</v>
      </c>
      <c r="C3" s="21" t="s">
        <v>82</v>
      </c>
      <c r="D3" s="21" t="s">
        <v>89</v>
      </c>
      <c r="E3" s="21" t="s">
        <v>90</v>
      </c>
      <c r="F3" s="21" t="n">
        <v>2</v>
      </c>
      <c r="G3" s="21" t="s">
        <v>85</v>
      </c>
      <c r="H3" s="21" t="s">
        <v>86</v>
      </c>
      <c r="I3" s="22" t="n">
        <v>46213</v>
      </c>
      <c r="J3" s="22" t="n">
        <v>46326</v>
      </c>
      <c r="K3" s="23" t="n">
        <f aca="false">IF($A3="","",COUNTIF(Candidates!$E$2:$E$501,$A3))</f>
        <v>7</v>
      </c>
      <c r="L3" s="23" t="n">
        <f aca="false">IF($A3="","",COUNTIFS(Candidates!$E$2:$E$501,$A3,Candidates!$M$2:$M$501,"Active"))</f>
        <v>5</v>
      </c>
      <c r="M3" s="23" t="n">
        <f aca="false">IF($A3="","",COUNTIFS(Candidates!$E$2:$E$501,$A3,Candidates!$T$2:$T$501,"&lt;&gt;"))</f>
        <v>4</v>
      </c>
      <c r="N3" s="23" t="n">
        <f aca="false">IF($A3="","",COUNTIFS(Candidates!$E$2:$E$501,$A3,Candidates!$K$2:$K$501,"Joined"))</f>
        <v>2</v>
      </c>
      <c r="O3" s="23" t="n">
        <f aca="false">IF($A3="","",MAX($F3-$N3,0))</f>
        <v>0</v>
      </c>
      <c r="P3" s="24" t="n">
        <f aca="false">IF(OR($A3="",N($F3)=0),"",$N3/$F3)</f>
        <v>1</v>
      </c>
      <c r="Q3" s="23" t="n">
        <f aca="true">IF(OR($A3="",$I3=""),"",TODAY()-$I3)</f>
        <v>97</v>
      </c>
      <c r="R3" s="23" t="n">
        <f aca="true">IF(OR($A3="",$J3=""),"",$J3-TODAY())</f>
        <v>16</v>
      </c>
      <c r="S3" s="25" t="str">
        <f aca="true">IF($A3="","",IF($O3=0,"Filled",IF(AND($J3&lt;&gt;"",TODAY()&gt;$J3),"Overdue",IF($L3=0,"No Pipeline","Open"))))</f>
        <v>Filled</v>
      </c>
    </row>
    <row r="4" customFormat="false" ht="15" hidden="false" customHeight="false" outlineLevel="0" collapsed="false">
      <c r="A4" s="21" t="s">
        <v>91</v>
      </c>
      <c r="B4" s="21" t="s">
        <v>92</v>
      </c>
      <c r="C4" s="21" t="s">
        <v>93</v>
      </c>
      <c r="D4" s="21" t="s">
        <v>94</v>
      </c>
      <c r="E4" s="21" t="s">
        <v>84</v>
      </c>
      <c r="F4" s="21" t="n">
        <v>2</v>
      </c>
      <c r="G4" s="21" t="s">
        <v>95</v>
      </c>
      <c r="H4" s="21" t="s">
        <v>96</v>
      </c>
      <c r="I4" s="22" t="n">
        <v>46223</v>
      </c>
      <c r="J4" s="22" t="n">
        <v>46341</v>
      </c>
      <c r="K4" s="23" t="n">
        <f aca="false">IF($A4="","",COUNTIF(Candidates!$E$2:$E$501,$A4))</f>
        <v>7</v>
      </c>
      <c r="L4" s="23" t="n">
        <f aca="false">IF($A4="","",COUNTIFS(Candidates!$E$2:$E$501,$A4,Candidates!$M$2:$M$501,"Active"))</f>
        <v>4</v>
      </c>
      <c r="M4" s="23" t="n">
        <f aca="false">IF($A4="","",COUNTIFS(Candidates!$E$2:$E$501,$A4,Candidates!$T$2:$T$501,"&lt;&gt;"))</f>
        <v>4</v>
      </c>
      <c r="N4" s="23" t="n">
        <f aca="false">IF($A4="","",COUNTIFS(Candidates!$E$2:$E$501,$A4,Candidates!$K$2:$K$501,"Joined"))</f>
        <v>1</v>
      </c>
      <c r="O4" s="23" t="n">
        <f aca="false">IF($A4="","",MAX($F4-$N4,0))</f>
        <v>1</v>
      </c>
      <c r="P4" s="24" t="n">
        <f aca="false">IF(OR($A4="",N($F4)=0),"",$N4/$F4)</f>
        <v>0.5</v>
      </c>
      <c r="Q4" s="23" t="n">
        <f aca="true">IF(OR($A4="",$I4=""),"",TODAY()-$I4)</f>
        <v>87</v>
      </c>
      <c r="R4" s="23" t="n">
        <f aca="true">IF(OR($A4="",$J4=""),"",$J4-TODAY())</f>
        <v>31</v>
      </c>
      <c r="S4" s="25" t="str">
        <f aca="true">IF($A4="","",IF($O4=0,"Filled",IF(AND($J4&lt;&gt;"",TODAY()&gt;$J4),"Overdue",IF($L4=0,"No Pipeline","Open"))))</f>
        <v>Open</v>
      </c>
    </row>
    <row r="5" customFormat="false" ht="15" hidden="false" customHeight="false" outlineLevel="0" collapsed="false">
      <c r="A5" s="21" t="s">
        <v>97</v>
      </c>
      <c r="B5" s="21" t="s">
        <v>98</v>
      </c>
      <c r="C5" s="21" t="s">
        <v>99</v>
      </c>
      <c r="D5" s="21" t="s">
        <v>100</v>
      </c>
      <c r="E5" s="21" t="s">
        <v>101</v>
      </c>
      <c r="F5" s="21" t="n">
        <v>1</v>
      </c>
      <c r="G5" s="21" t="s">
        <v>95</v>
      </c>
      <c r="H5" s="21" t="s">
        <v>102</v>
      </c>
      <c r="I5" s="22" t="n">
        <v>46239</v>
      </c>
      <c r="J5" s="22" t="n">
        <v>46356</v>
      </c>
      <c r="K5" s="23" t="n">
        <f aca="false">IF($A5="","",COUNTIF(Candidates!$E$2:$E$501,$A5))</f>
        <v>7</v>
      </c>
      <c r="L5" s="23" t="n">
        <f aca="false">IF($A5="","",COUNTIFS(Candidates!$E$2:$E$501,$A5,Candidates!$M$2:$M$501,"Active"))</f>
        <v>4</v>
      </c>
      <c r="M5" s="23" t="n">
        <f aca="false">IF($A5="","",COUNTIFS(Candidates!$E$2:$E$501,$A5,Candidates!$T$2:$T$501,"&lt;&gt;"))</f>
        <v>3</v>
      </c>
      <c r="N5" s="23" t="n">
        <f aca="false">IF($A5="","",COUNTIFS(Candidates!$E$2:$E$501,$A5,Candidates!$K$2:$K$501,"Joined"))</f>
        <v>1</v>
      </c>
      <c r="O5" s="23" t="n">
        <f aca="false">IF($A5="","",MAX($F5-$N5,0))</f>
        <v>0</v>
      </c>
      <c r="P5" s="24" t="n">
        <f aca="false">IF(OR($A5="",N($F5)=0),"",$N5/$F5)</f>
        <v>1</v>
      </c>
      <c r="Q5" s="23" t="n">
        <f aca="true">IF(OR($A5="",$I5=""),"",TODAY()-$I5)</f>
        <v>71</v>
      </c>
      <c r="R5" s="23" t="n">
        <f aca="true">IF(OR($A5="",$J5=""),"",$J5-TODAY())</f>
        <v>46</v>
      </c>
      <c r="S5" s="25" t="str">
        <f aca="true">IF($A5="","",IF($O5=0,"Filled",IF(AND($J5&lt;&gt;"",TODAY()&gt;$J5),"Overdue",IF($L5=0,"No Pipeline","Open"))))</f>
        <v>Filled</v>
      </c>
    </row>
    <row r="6" customFormat="false" ht="15" hidden="false" customHeight="false" outlineLevel="0" collapsed="false">
      <c r="A6" s="21" t="s">
        <v>103</v>
      </c>
      <c r="B6" s="21" t="s">
        <v>104</v>
      </c>
      <c r="C6" s="21" t="s">
        <v>105</v>
      </c>
      <c r="D6" s="21" t="s">
        <v>106</v>
      </c>
      <c r="E6" s="21" t="s">
        <v>107</v>
      </c>
      <c r="F6" s="21" t="n">
        <v>2</v>
      </c>
      <c r="G6" s="21" t="s">
        <v>108</v>
      </c>
      <c r="H6" s="21" t="s">
        <v>96</v>
      </c>
      <c r="I6" s="22" t="n">
        <v>46254</v>
      </c>
      <c r="J6" s="22" t="n">
        <v>46371</v>
      </c>
      <c r="K6" s="23" t="n">
        <f aca="false">IF($A6="","",COUNTIF(Candidates!$E$2:$E$501,$A6))</f>
        <v>6</v>
      </c>
      <c r="L6" s="23" t="n">
        <f aca="false">IF($A6="","",COUNTIFS(Candidates!$E$2:$E$501,$A6,Candidates!$M$2:$M$501,"Active"))</f>
        <v>4</v>
      </c>
      <c r="M6" s="23" t="n">
        <f aca="false">IF($A6="","",COUNTIFS(Candidates!$E$2:$E$501,$A6,Candidates!$T$2:$T$501,"&lt;&gt;"))</f>
        <v>4</v>
      </c>
      <c r="N6" s="23" t="n">
        <f aca="false">IF($A6="","",COUNTIFS(Candidates!$E$2:$E$501,$A6,Candidates!$K$2:$K$501,"Joined"))</f>
        <v>2</v>
      </c>
      <c r="O6" s="23" t="n">
        <f aca="false">IF($A6="","",MAX($F6-$N6,0))</f>
        <v>0</v>
      </c>
      <c r="P6" s="24" t="n">
        <f aca="false">IF(OR($A6="",N($F6)=0),"",$N6/$F6)</f>
        <v>1</v>
      </c>
      <c r="Q6" s="23" t="n">
        <f aca="true">IF(OR($A6="",$I6=""),"",TODAY()-$I6)</f>
        <v>56</v>
      </c>
      <c r="R6" s="23" t="n">
        <f aca="true">IF(OR($A6="",$J6=""),"",$J6-TODAY())</f>
        <v>61</v>
      </c>
      <c r="S6" s="25" t="str">
        <f aca="true">IF($A6="","",IF($O6=0,"Filled",IF(AND($J6&lt;&gt;"",TODAY()&gt;$J6),"Overdue",IF($L6=0,"No Pipeline","Open"))))</f>
        <v>Filled</v>
      </c>
    </row>
    <row r="7" customFormat="false" ht="15" hidden="false" customHeight="false" outlineLevel="0" collapsed="false">
      <c r="A7" s="21" t="s">
        <v>109</v>
      </c>
      <c r="B7" s="21" t="s">
        <v>110</v>
      </c>
      <c r="C7" s="21" t="s">
        <v>111</v>
      </c>
      <c r="D7" s="21" t="s">
        <v>112</v>
      </c>
      <c r="E7" s="21" t="s">
        <v>113</v>
      </c>
      <c r="F7" s="21" t="n">
        <v>1</v>
      </c>
      <c r="G7" s="21" t="s">
        <v>85</v>
      </c>
      <c r="H7" s="21" t="s">
        <v>102</v>
      </c>
      <c r="I7" s="22" t="n">
        <v>46280</v>
      </c>
      <c r="J7" s="22" t="n">
        <v>46387</v>
      </c>
      <c r="K7" s="23" t="n">
        <f aca="false">IF($A7="","",COUNTIF(Candidates!$E$2:$E$501,$A7))</f>
        <v>6</v>
      </c>
      <c r="L7" s="23" t="n">
        <f aca="false">IF($A7="","",COUNTIFS(Candidates!$E$2:$E$501,$A7,Candidates!$M$2:$M$501,"Active"))</f>
        <v>5</v>
      </c>
      <c r="M7" s="23" t="n">
        <f aca="false">IF($A7="","",COUNTIFS(Candidates!$E$2:$E$501,$A7,Candidates!$T$2:$T$501,"&lt;&gt;"))</f>
        <v>0</v>
      </c>
      <c r="N7" s="23" t="n">
        <f aca="false">IF($A7="","",COUNTIFS(Candidates!$E$2:$E$501,$A7,Candidates!$K$2:$K$501,"Joined"))</f>
        <v>0</v>
      </c>
      <c r="O7" s="23" t="n">
        <f aca="false">IF($A7="","",MAX($F7-$N7,0))</f>
        <v>1</v>
      </c>
      <c r="P7" s="24" t="n">
        <f aca="false">IF(OR($A7="",N($F7)=0),"",$N7/$F7)</f>
        <v>0</v>
      </c>
      <c r="Q7" s="23" t="n">
        <f aca="true">IF(OR($A7="",$I7=""),"",TODAY()-$I7)</f>
        <v>30</v>
      </c>
      <c r="R7" s="23" t="n">
        <f aca="true">IF(OR($A7="",$J7=""),"",$J7-TODAY())</f>
        <v>77</v>
      </c>
      <c r="S7" s="25" t="str">
        <f aca="true">IF($A7="","",IF($O7=0,"Filled",IF(AND($J7&lt;&gt;"",TODAY()&gt;$J7),"Overdue",IF($L7=0,"No Pipeline","Open"))))</f>
        <v>Open</v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1"/>
      <c r="I8" s="22"/>
      <c r="J8" s="22"/>
      <c r="K8" s="23" t="str">
        <f aca="false">IF($A8="","",COUNTIF(Candidates!$E$2:$E$501,$A8))</f>
        <v/>
      </c>
      <c r="L8" s="23" t="str">
        <f aca="false">IF($A8="","",COUNTIFS(Candidates!$E$2:$E$501,$A8,Candidates!$M$2:$M$501,"Active"))</f>
        <v/>
      </c>
      <c r="M8" s="23" t="str">
        <f aca="false">IF($A8="","",COUNTIFS(Candidates!$E$2:$E$501,$A8,Candidates!$T$2:$T$501,"&lt;&gt;"))</f>
        <v/>
      </c>
      <c r="N8" s="23" t="str">
        <f aca="false">IF($A8="","",COUNTIFS(Candidates!$E$2:$E$501,$A8,Candidates!$K$2:$K$501,"Joined"))</f>
        <v/>
      </c>
      <c r="O8" s="23" t="str">
        <f aca="false">IF($A8="","",MAX($F8-$N8,0))</f>
        <v/>
      </c>
      <c r="P8" s="24" t="str">
        <f aca="false">IF(OR($A8="",N($F8)=0),"",$N8/$F8)</f>
        <v/>
      </c>
      <c r="Q8" s="23" t="str">
        <f aca="true">IF(OR($A8="",$I8=""),"",TODAY()-$I8)</f>
        <v/>
      </c>
      <c r="R8" s="23" t="str">
        <f aca="true">IF(OR($A8="",$J8=""),"",$J8-TODAY())</f>
        <v/>
      </c>
      <c r="S8" s="25" t="str">
        <f aca="true">IF($A8="","",IF($O8=0,"Filled",IF(AND($J8&lt;&gt;"",TODAY()&gt;$J8),"Overdue",IF($L8=0,"No Pipeline","Open"))))</f>
        <v/>
      </c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2"/>
      <c r="J9" s="22"/>
      <c r="K9" s="23" t="str">
        <f aca="false">IF($A9="","",COUNTIF(Candidates!$E$2:$E$501,$A9))</f>
        <v/>
      </c>
      <c r="L9" s="23" t="str">
        <f aca="false">IF($A9="","",COUNTIFS(Candidates!$E$2:$E$501,$A9,Candidates!$M$2:$M$501,"Active"))</f>
        <v/>
      </c>
      <c r="M9" s="23" t="str">
        <f aca="false">IF($A9="","",COUNTIFS(Candidates!$E$2:$E$501,$A9,Candidates!$T$2:$T$501,"&lt;&gt;"))</f>
        <v/>
      </c>
      <c r="N9" s="23" t="str">
        <f aca="false">IF($A9="","",COUNTIFS(Candidates!$E$2:$E$501,$A9,Candidates!$K$2:$K$501,"Joined"))</f>
        <v/>
      </c>
      <c r="O9" s="23" t="str">
        <f aca="false">IF($A9="","",MAX($F9-$N9,0))</f>
        <v/>
      </c>
      <c r="P9" s="24" t="str">
        <f aca="false">IF(OR($A9="",N($F9)=0),"",$N9/$F9)</f>
        <v/>
      </c>
      <c r="Q9" s="23" t="str">
        <f aca="true">IF(OR($A9="",$I9=""),"",TODAY()-$I9)</f>
        <v/>
      </c>
      <c r="R9" s="23" t="str">
        <f aca="true">IF(OR($A9="",$J9=""),"",$J9-TODAY())</f>
        <v/>
      </c>
      <c r="S9" s="25" t="str">
        <f aca="true">IF($A9="","",IF($O9=0,"Filled",IF(AND($J9&lt;&gt;"",TODAY()&gt;$J9),"Overdue",IF($L9=0,"No Pipeline","Open"))))</f>
        <v/>
      </c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2"/>
      <c r="J10" s="22"/>
      <c r="K10" s="23" t="str">
        <f aca="false">IF($A10="","",COUNTIF(Candidates!$E$2:$E$501,$A10))</f>
        <v/>
      </c>
      <c r="L10" s="23" t="str">
        <f aca="false">IF($A10="","",COUNTIFS(Candidates!$E$2:$E$501,$A10,Candidates!$M$2:$M$501,"Active"))</f>
        <v/>
      </c>
      <c r="M10" s="23" t="str">
        <f aca="false">IF($A10="","",COUNTIFS(Candidates!$E$2:$E$501,$A10,Candidates!$T$2:$T$501,"&lt;&gt;"))</f>
        <v/>
      </c>
      <c r="N10" s="23" t="str">
        <f aca="false">IF($A10="","",COUNTIFS(Candidates!$E$2:$E$501,$A10,Candidates!$K$2:$K$501,"Joined"))</f>
        <v/>
      </c>
      <c r="O10" s="23" t="str">
        <f aca="false">IF($A10="","",MAX($F10-$N10,0))</f>
        <v/>
      </c>
      <c r="P10" s="24" t="str">
        <f aca="false">IF(OR($A10="",N($F10)=0),"",$N10/$F10)</f>
        <v/>
      </c>
      <c r="Q10" s="23" t="str">
        <f aca="true">IF(OR($A10="",$I10=""),"",TODAY()-$I10)</f>
        <v/>
      </c>
      <c r="R10" s="23" t="str">
        <f aca="true">IF(OR($A10="",$J10=""),"",$J10-TODAY())</f>
        <v/>
      </c>
      <c r="S10" s="25" t="str">
        <f aca="true">IF($A10="","",IF($O10=0,"Filled",IF(AND($J10&lt;&gt;"",TODAY()&gt;$J10),"Overdue",IF($L10=0,"No Pipeline","Open"))))</f>
        <v/>
      </c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2"/>
      <c r="J11" s="22"/>
      <c r="K11" s="23" t="str">
        <f aca="false">IF($A11="","",COUNTIF(Candidates!$E$2:$E$501,$A11))</f>
        <v/>
      </c>
      <c r="L11" s="23" t="str">
        <f aca="false">IF($A11="","",COUNTIFS(Candidates!$E$2:$E$501,$A11,Candidates!$M$2:$M$501,"Active"))</f>
        <v/>
      </c>
      <c r="M11" s="23" t="str">
        <f aca="false">IF($A11="","",COUNTIFS(Candidates!$E$2:$E$501,$A11,Candidates!$T$2:$T$501,"&lt;&gt;"))</f>
        <v/>
      </c>
      <c r="N11" s="23" t="str">
        <f aca="false">IF($A11="","",COUNTIFS(Candidates!$E$2:$E$501,$A11,Candidates!$K$2:$K$501,"Joined"))</f>
        <v/>
      </c>
      <c r="O11" s="23" t="str">
        <f aca="false">IF($A11="","",MAX($F11-$N11,0))</f>
        <v/>
      </c>
      <c r="P11" s="24" t="str">
        <f aca="false">IF(OR($A11="",N($F11)=0),"",$N11/$F11)</f>
        <v/>
      </c>
      <c r="Q11" s="23" t="str">
        <f aca="true">IF(OR($A11="",$I11=""),"",TODAY()-$I11)</f>
        <v/>
      </c>
      <c r="R11" s="23" t="str">
        <f aca="true">IF(OR($A11="",$J11=""),"",$J11-TODAY())</f>
        <v/>
      </c>
      <c r="S11" s="25" t="str">
        <f aca="true">IF($A11="","",IF($O11=0,"Filled",IF(AND($J11&lt;&gt;"",TODAY()&gt;$J11),"Overdue",IF($L11=0,"No Pipeline","Open"))))</f>
        <v/>
      </c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2"/>
      <c r="J12" s="22"/>
      <c r="K12" s="23" t="str">
        <f aca="false">IF($A12="","",COUNTIF(Candidates!$E$2:$E$501,$A12))</f>
        <v/>
      </c>
      <c r="L12" s="23" t="str">
        <f aca="false">IF($A12="","",COUNTIFS(Candidates!$E$2:$E$501,$A12,Candidates!$M$2:$M$501,"Active"))</f>
        <v/>
      </c>
      <c r="M12" s="23" t="str">
        <f aca="false">IF($A12="","",COUNTIFS(Candidates!$E$2:$E$501,$A12,Candidates!$T$2:$T$501,"&lt;&gt;"))</f>
        <v/>
      </c>
      <c r="N12" s="23" t="str">
        <f aca="false">IF($A12="","",COUNTIFS(Candidates!$E$2:$E$501,$A12,Candidates!$K$2:$K$501,"Joined"))</f>
        <v/>
      </c>
      <c r="O12" s="23" t="str">
        <f aca="false">IF($A12="","",MAX($F12-$N12,0))</f>
        <v/>
      </c>
      <c r="P12" s="24" t="str">
        <f aca="false">IF(OR($A12="",N($F12)=0),"",$N12/$F12)</f>
        <v/>
      </c>
      <c r="Q12" s="23" t="str">
        <f aca="true">IF(OR($A12="",$I12=""),"",TODAY()-$I12)</f>
        <v/>
      </c>
      <c r="R12" s="23" t="str">
        <f aca="true">IF(OR($A12="",$J12=""),"",$J12-TODAY())</f>
        <v/>
      </c>
      <c r="S12" s="25" t="str">
        <f aca="true">IF($A12="","",IF($O12=0,"Filled",IF(AND($J12&lt;&gt;"",TODAY()&gt;$J12),"Overdue",IF($L12=0,"No Pipeline","Open"))))</f>
        <v/>
      </c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2"/>
      <c r="J13" s="22"/>
      <c r="K13" s="23" t="str">
        <f aca="false">IF($A13="","",COUNTIF(Candidates!$E$2:$E$501,$A13))</f>
        <v/>
      </c>
      <c r="L13" s="23" t="str">
        <f aca="false">IF($A13="","",COUNTIFS(Candidates!$E$2:$E$501,$A13,Candidates!$M$2:$M$501,"Active"))</f>
        <v/>
      </c>
      <c r="M13" s="23" t="str">
        <f aca="false">IF($A13="","",COUNTIFS(Candidates!$E$2:$E$501,$A13,Candidates!$T$2:$T$501,"&lt;&gt;"))</f>
        <v/>
      </c>
      <c r="N13" s="23" t="str">
        <f aca="false">IF($A13="","",COUNTIFS(Candidates!$E$2:$E$501,$A13,Candidates!$K$2:$K$501,"Joined"))</f>
        <v/>
      </c>
      <c r="O13" s="23" t="str">
        <f aca="false">IF($A13="","",MAX($F13-$N13,0))</f>
        <v/>
      </c>
      <c r="P13" s="24" t="str">
        <f aca="false">IF(OR($A13="",N($F13)=0),"",$N13/$F13)</f>
        <v/>
      </c>
      <c r="Q13" s="23" t="str">
        <f aca="true">IF(OR($A13="",$I13=""),"",TODAY()-$I13)</f>
        <v/>
      </c>
      <c r="R13" s="23" t="str">
        <f aca="true">IF(OR($A13="",$J13=""),"",$J13-TODAY())</f>
        <v/>
      </c>
      <c r="S13" s="25" t="str">
        <f aca="true">IF($A13="","",IF($O13=0,"Filled",IF(AND($J13&lt;&gt;"",TODAY()&gt;$J13),"Overdue",IF($L13=0,"No Pipeline","Open"))))</f>
        <v/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2"/>
      <c r="J14" s="22"/>
      <c r="K14" s="23" t="str">
        <f aca="false">IF($A14="","",COUNTIF(Candidates!$E$2:$E$501,$A14))</f>
        <v/>
      </c>
      <c r="L14" s="23" t="str">
        <f aca="false">IF($A14="","",COUNTIFS(Candidates!$E$2:$E$501,$A14,Candidates!$M$2:$M$501,"Active"))</f>
        <v/>
      </c>
      <c r="M14" s="23" t="str">
        <f aca="false">IF($A14="","",COUNTIFS(Candidates!$E$2:$E$501,$A14,Candidates!$T$2:$T$501,"&lt;&gt;"))</f>
        <v/>
      </c>
      <c r="N14" s="23" t="str">
        <f aca="false">IF($A14="","",COUNTIFS(Candidates!$E$2:$E$501,$A14,Candidates!$K$2:$K$501,"Joined"))</f>
        <v/>
      </c>
      <c r="O14" s="23" t="str">
        <f aca="false">IF($A14="","",MAX($F14-$N14,0))</f>
        <v/>
      </c>
      <c r="P14" s="24" t="str">
        <f aca="false">IF(OR($A14="",N($F14)=0),"",$N14/$F14)</f>
        <v/>
      </c>
      <c r="Q14" s="23" t="str">
        <f aca="true">IF(OR($A14="",$I14=""),"",TODAY()-$I14)</f>
        <v/>
      </c>
      <c r="R14" s="23" t="str">
        <f aca="true">IF(OR($A14="",$J14=""),"",$J14-TODAY())</f>
        <v/>
      </c>
      <c r="S14" s="25" t="str">
        <f aca="true">IF($A14="","",IF($O14=0,"Filled",IF(AND($J14&lt;&gt;"",TODAY()&gt;$J14),"Overdue",IF($L14=0,"No Pipeline","Open"))))</f>
        <v/>
      </c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2"/>
      <c r="J15" s="22"/>
      <c r="K15" s="23" t="str">
        <f aca="false">IF($A15="","",COUNTIF(Candidates!$E$2:$E$501,$A15))</f>
        <v/>
      </c>
      <c r="L15" s="23" t="str">
        <f aca="false">IF($A15="","",COUNTIFS(Candidates!$E$2:$E$501,$A15,Candidates!$M$2:$M$501,"Active"))</f>
        <v/>
      </c>
      <c r="M15" s="23" t="str">
        <f aca="false">IF($A15="","",COUNTIFS(Candidates!$E$2:$E$501,$A15,Candidates!$T$2:$T$501,"&lt;&gt;"))</f>
        <v/>
      </c>
      <c r="N15" s="23" t="str">
        <f aca="false">IF($A15="","",COUNTIFS(Candidates!$E$2:$E$501,$A15,Candidates!$K$2:$K$501,"Joined"))</f>
        <v/>
      </c>
      <c r="O15" s="23" t="str">
        <f aca="false">IF($A15="","",MAX($F15-$N15,0))</f>
        <v/>
      </c>
      <c r="P15" s="24" t="str">
        <f aca="false">IF(OR($A15="",N($F15)=0),"",$N15/$F15)</f>
        <v/>
      </c>
      <c r="Q15" s="23" t="str">
        <f aca="true">IF(OR($A15="",$I15=""),"",TODAY()-$I15)</f>
        <v/>
      </c>
      <c r="R15" s="23" t="str">
        <f aca="true">IF(OR($A15="",$J15=""),"",$J15-TODAY())</f>
        <v/>
      </c>
      <c r="S15" s="25" t="str">
        <f aca="true">IF($A15="","",IF($O15=0,"Filled",IF(AND($J15&lt;&gt;"",TODAY()&gt;$J15),"Overdue",IF($L15=0,"No Pipeline","Open"))))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2"/>
      <c r="J16" s="22"/>
      <c r="K16" s="23" t="str">
        <f aca="false">IF($A16="","",COUNTIF(Candidates!$E$2:$E$501,$A16))</f>
        <v/>
      </c>
      <c r="L16" s="23" t="str">
        <f aca="false">IF($A16="","",COUNTIFS(Candidates!$E$2:$E$501,$A16,Candidates!$M$2:$M$501,"Active"))</f>
        <v/>
      </c>
      <c r="M16" s="23" t="str">
        <f aca="false">IF($A16="","",COUNTIFS(Candidates!$E$2:$E$501,$A16,Candidates!$T$2:$T$501,"&lt;&gt;"))</f>
        <v/>
      </c>
      <c r="N16" s="23" t="str">
        <f aca="false">IF($A16="","",COUNTIFS(Candidates!$E$2:$E$501,$A16,Candidates!$K$2:$K$501,"Joined"))</f>
        <v/>
      </c>
      <c r="O16" s="23" t="str">
        <f aca="false">IF($A16="","",MAX($F16-$N16,0))</f>
        <v/>
      </c>
      <c r="P16" s="24" t="str">
        <f aca="false">IF(OR($A16="",N($F16)=0),"",$N16/$F16)</f>
        <v/>
      </c>
      <c r="Q16" s="23" t="str">
        <f aca="true">IF(OR($A16="",$I16=""),"",TODAY()-$I16)</f>
        <v/>
      </c>
      <c r="R16" s="23" t="str">
        <f aca="true">IF(OR($A16="",$J16=""),"",$J16-TODAY())</f>
        <v/>
      </c>
      <c r="S16" s="25" t="str">
        <f aca="true">IF($A16="","",IF($O16=0,"Filled",IF(AND($J16&lt;&gt;"",TODAY()&gt;$J16),"Overdue",IF($L16=0,"No Pipeline","Open"))))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2"/>
      <c r="J17" s="22"/>
      <c r="K17" s="23" t="str">
        <f aca="false">IF($A17="","",COUNTIF(Candidates!$E$2:$E$501,$A17))</f>
        <v/>
      </c>
      <c r="L17" s="23" t="str">
        <f aca="false">IF($A17="","",COUNTIFS(Candidates!$E$2:$E$501,$A17,Candidates!$M$2:$M$501,"Active"))</f>
        <v/>
      </c>
      <c r="M17" s="23" t="str">
        <f aca="false">IF($A17="","",COUNTIFS(Candidates!$E$2:$E$501,$A17,Candidates!$T$2:$T$501,"&lt;&gt;"))</f>
        <v/>
      </c>
      <c r="N17" s="23" t="str">
        <f aca="false">IF($A17="","",COUNTIFS(Candidates!$E$2:$E$501,$A17,Candidates!$K$2:$K$501,"Joined"))</f>
        <v/>
      </c>
      <c r="O17" s="23" t="str">
        <f aca="false">IF($A17="","",MAX($F17-$N17,0))</f>
        <v/>
      </c>
      <c r="P17" s="24" t="str">
        <f aca="false">IF(OR($A17="",N($F17)=0),"",$N17/$F17)</f>
        <v/>
      </c>
      <c r="Q17" s="23" t="str">
        <f aca="true">IF(OR($A17="",$I17=""),"",TODAY()-$I17)</f>
        <v/>
      </c>
      <c r="R17" s="23" t="str">
        <f aca="true">IF(OR($A17="",$J17=""),"",$J17-TODAY())</f>
        <v/>
      </c>
      <c r="S17" s="25" t="str">
        <f aca="true">IF($A17="","",IF($O17=0,"Filled",IF(AND($J17&lt;&gt;"",TODAY()&gt;$J17),"Overdue",IF($L17=0,"No Pipeline","Open"))))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2"/>
      <c r="J18" s="22"/>
      <c r="K18" s="23" t="str">
        <f aca="false">IF($A18="","",COUNTIF(Candidates!$E$2:$E$501,$A18))</f>
        <v/>
      </c>
      <c r="L18" s="23" t="str">
        <f aca="false">IF($A18="","",COUNTIFS(Candidates!$E$2:$E$501,$A18,Candidates!$M$2:$M$501,"Active"))</f>
        <v/>
      </c>
      <c r="M18" s="23" t="str">
        <f aca="false">IF($A18="","",COUNTIFS(Candidates!$E$2:$E$501,$A18,Candidates!$T$2:$T$501,"&lt;&gt;"))</f>
        <v/>
      </c>
      <c r="N18" s="23" t="str">
        <f aca="false">IF($A18="","",COUNTIFS(Candidates!$E$2:$E$501,$A18,Candidates!$K$2:$K$501,"Joined"))</f>
        <v/>
      </c>
      <c r="O18" s="23" t="str">
        <f aca="false">IF($A18="","",MAX($F18-$N18,0))</f>
        <v/>
      </c>
      <c r="P18" s="24" t="str">
        <f aca="false">IF(OR($A18="",N($F18)=0),"",$N18/$F18)</f>
        <v/>
      </c>
      <c r="Q18" s="23" t="str">
        <f aca="true">IF(OR($A18="",$I18=""),"",TODAY()-$I18)</f>
        <v/>
      </c>
      <c r="R18" s="23" t="str">
        <f aca="true">IF(OR($A18="",$J18=""),"",$J18-TODAY())</f>
        <v/>
      </c>
      <c r="S18" s="25" t="str">
        <f aca="true">IF($A18="","",IF($O18=0,"Filled",IF(AND($J18&lt;&gt;"",TODAY()&gt;$J18),"Overdue",IF($L18=0,"No Pipeline","Open"))))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tr">
        <f aca="false">IF($A19="","",COUNTIF(Candidates!$E$2:$E$501,$A19))</f>
        <v/>
      </c>
      <c r="L19" s="23" t="str">
        <f aca="false">IF($A19="","",COUNTIFS(Candidates!$E$2:$E$501,$A19,Candidates!$M$2:$M$501,"Active"))</f>
        <v/>
      </c>
      <c r="M19" s="23" t="str">
        <f aca="false">IF($A19="","",COUNTIFS(Candidates!$E$2:$E$501,$A19,Candidates!$T$2:$T$501,"&lt;&gt;"))</f>
        <v/>
      </c>
      <c r="N19" s="23" t="str">
        <f aca="false">IF($A19="","",COUNTIFS(Candidates!$E$2:$E$501,$A19,Candidates!$K$2:$K$501,"Joined"))</f>
        <v/>
      </c>
      <c r="O19" s="23" t="str">
        <f aca="false">IF($A19="","",MAX($F19-$N19,0))</f>
        <v/>
      </c>
      <c r="P19" s="24" t="str">
        <f aca="false">IF(OR($A19="",N($F19)=0),"",$N19/$F19)</f>
        <v/>
      </c>
      <c r="Q19" s="23" t="str">
        <f aca="true">IF(OR($A19="",$I19=""),"",TODAY()-$I19)</f>
        <v/>
      </c>
      <c r="R19" s="23" t="str">
        <f aca="true">IF(OR($A19="",$J19=""),"",$J19-TODAY())</f>
        <v/>
      </c>
      <c r="S19" s="25" t="str">
        <f aca="true">IF($A19="","",IF($O19=0,"Filled",IF(AND($J19&lt;&gt;"",TODAY()&gt;$J19),"Overdue",IF($L19=0,"No Pipeline","Open"))))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2"/>
      <c r="J20" s="22"/>
      <c r="K20" s="23" t="str">
        <f aca="false">IF($A20="","",COUNTIF(Candidates!$E$2:$E$501,$A20))</f>
        <v/>
      </c>
      <c r="L20" s="23" t="str">
        <f aca="false">IF($A20="","",COUNTIFS(Candidates!$E$2:$E$501,$A20,Candidates!$M$2:$M$501,"Active"))</f>
        <v/>
      </c>
      <c r="M20" s="23" t="str">
        <f aca="false">IF($A20="","",COUNTIFS(Candidates!$E$2:$E$501,$A20,Candidates!$T$2:$T$501,"&lt;&gt;"))</f>
        <v/>
      </c>
      <c r="N20" s="23" t="str">
        <f aca="false">IF($A20="","",COUNTIFS(Candidates!$E$2:$E$501,$A20,Candidates!$K$2:$K$501,"Joined"))</f>
        <v/>
      </c>
      <c r="O20" s="23" t="str">
        <f aca="false">IF($A20="","",MAX($F20-$N20,0))</f>
        <v/>
      </c>
      <c r="P20" s="24" t="str">
        <f aca="false">IF(OR($A20="",N($F20)=0),"",$N20/$F20)</f>
        <v/>
      </c>
      <c r="Q20" s="23" t="str">
        <f aca="true">IF(OR($A20="",$I20=""),"",TODAY()-$I20)</f>
        <v/>
      </c>
      <c r="R20" s="23" t="str">
        <f aca="true">IF(OR($A20="",$J20=""),"",$J20-TODAY())</f>
        <v/>
      </c>
      <c r="S20" s="25" t="str">
        <f aca="true">IF($A20="","",IF($O20=0,"Filled",IF(AND($J20&lt;&gt;"",TODAY()&gt;$J20),"Overdue",IF($L20=0,"No Pipeline","Open"))))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2"/>
      <c r="J21" s="22"/>
      <c r="K21" s="23" t="str">
        <f aca="false">IF($A21="","",COUNTIF(Candidates!$E$2:$E$501,$A21))</f>
        <v/>
      </c>
      <c r="L21" s="23" t="str">
        <f aca="false">IF($A21="","",COUNTIFS(Candidates!$E$2:$E$501,$A21,Candidates!$M$2:$M$501,"Active"))</f>
        <v/>
      </c>
      <c r="M21" s="23" t="str">
        <f aca="false">IF($A21="","",COUNTIFS(Candidates!$E$2:$E$501,$A21,Candidates!$T$2:$T$501,"&lt;&gt;"))</f>
        <v/>
      </c>
      <c r="N21" s="23" t="str">
        <f aca="false">IF($A21="","",COUNTIFS(Candidates!$E$2:$E$501,$A21,Candidates!$K$2:$K$501,"Joined"))</f>
        <v/>
      </c>
      <c r="O21" s="23" t="str">
        <f aca="false">IF($A21="","",MAX($F21-$N21,0))</f>
        <v/>
      </c>
      <c r="P21" s="24" t="str">
        <f aca="false">IF(OR($A21="",N($F21)=0),"",$N21/$F21)</f>
        <v/>
      </c>
      <c r="Q21" s="23" t="str">
        <f aca="true">IF(OR($A21="",$I21=""),"",TODAY()-$I21)</f>
        <v/>
      </c>
      <c r="R21" s="23" t="str">
        <f aca="true">IF(OR($A21="",$J21=""),"",$J21-TODAY())</f>
        <v/>
      </c>
      <c r="S21" s="25" t="str">
        <f aca="true">IF($A21="","",IF($O21=0,"Filled",IF(AND($J21&lt;&gt;"",TODAY()&gt;$J21),"Overdue",IF($L21=0,"No Pipeline","Open"))))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2"/>
      <c r="J22" s="22"/>
      <c r="K22" s="23" t="str">
        <f aca="false">IF($A22="","",COUNTIF(Candidates!$E$2:$E$501,$A22))</f>
        <v/>
      </c>
      <c r="L22" s="23" t="str">
        <f aca="false">IF($A22="","",COUNTIFS(Candidates!$E$2:$E$501,$A22,Candidates!$M$2:$M$501,"Active"))</f>
        <v/>
      </c>
      <c r="M22" s="23" t="str">
        <f aca="false">IF($A22="","",COUNTIFS(Candidates!$E$2:$E$501,$A22,Candidates!$T$2:$T$501,"&lt;&gt;"))</f>
        <v/>
      </c>
      <c r="N22" s="23" t="str">
        <f aca="false">IF($A22="","",COUNTIFS(Candidates!$E$2:$E$501,$A22,Candidates!$K$2:$K$501,"Joined"))</f>
        <v/>
      </c>
      <c r="O22" s="23" t="str">
        <f aca="false">IF($A22="","",MAX($F22-$N22,0))</f>
        <v/>
      </c>
      <c r="P22" s="24" t="str">
        <f aca="false">IF(OR($A22="",N($F22)=0),"",$N22/$F22)</f>
        <v/>
      </c>
      <c r="Q22" s="23" t="str">
        <f aca="true">IF(OR($A22="",$I22=""),"",TODAY()-$I22)</f>
        <v/>
      </c>
      <c r="R22" s="23" t="str">
        <f aca="true">IF(OR($A22="",$J22=""),"",$J22-TODAY())</f>
        <v/>
      </c>
      <c r="S22" s="25" t="str">
        <f aca="true">IF($A22="","",IF($O22=0,"Filled",IF(AND($J22&lt;&gt;"",TODAY()&gt;$J22),"Overdue",IF($L22=0,"No Pipeline","Open"))))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2"/>
      <c r="J23" s="22"/>
      <c r="K23" s="23" t="str">
        <f aca="false">IF($A23="","",COUNTIF(Candidates!$E$2:$E$501,$A23))</f>
        <v/>
      </c>
      <c r="L23" s="23" t="str">
        <f aca="false">IF($A23="","",COUNTIFS(Candidates!$E$2:$E$501,$A23,Candidates!$M$2:$M$501,"Active"))</f>
        <v/>
      </c>
      <c r="M23" s="23" t="str">
        <f aca="false">IF($A23="","",COUNTIFS(Candidates!$E$2:$E$501,$A23,Candidates!$T$2:$T$501,"&lt;&gt;"))</f>
        <v/>
      </c>
      <c r="N23" s="23" t="str">
        <f aca="false">IF($A23="","",COUNTIFS(Candidates!$E$2:$E$501,$A23,Candidates!$K$2:$K$501,"Joined"))</f>
        <v/>
      </c>
      <c r="O23" s="23" t="str">
        <f aca="false">IF($A23="","",MAX($F23-$N23,0))</f>
        <v/>
      </c>
      <c r="P23" s="24" t="str">
        <f aca="false">IF(OR($A23="",N($F23)=0),"",$N23/$F23)</f>
        <v/>
      </c>
      <c r="Q23" s="23" t="str">
        <f aca="true">IF(OR($A23="",$I23=""),"",TODAY()-$I23)</f>
        <v/>
      </c>
      <c r="R23" s="23" t="str">
        <f aca="true">IF(OR($A23="",$J23=""),"",$J23-TODAY())</f>
        <v/>
      </c>
      <c r="S23" s="25" t="str">
        <f aca="true">IF($A23="","",IF($O23=0,"Filled",IF(AND($J23&lt;&gt;"",TODAY()&gt;$J23),"Overdue",IF($L23=0,"No Pipeline","Open"))))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2"/>
      <c r="J24" s="22"/>
      <c r="K24" s="23" t="str">
        <f aca="false">IF($A24="","",COUNTIF(Candidates!$E$2:$E$501,$A24))</f>
        <v/>
      </c>
      <c r="L24" s="23" t="str">
        <f aca="false">IF($A24="","",COUNTIFS(Candidates!$E$2:$E$501,$A24,Candidates!$M$2:$M$501,"Active"))</f>
        <v/>
      </c>
      <c r="M24" s="23" t="str">
        <f aca="false">IF($A24="","",COUNTIFS(Candidates!$E$2:$E$501,$A24,Candidates!$T$2:$T$501,"&lt;&gt;"))</f>
        <v/>
      </c>
      <c r="N24" s="23" t="str">
        <f aca="false">IF($A24="","",COUNTIFS(Candidates!$E$2:$E$501,$A24,Candidates!$K$2:$K$501,"Joined"))</f>
        <v/>
      </c>
      <c r="O24" s="23" t="str">
        <f aca="false">IF($A24="","",MAX($F24-$N24,0))</f>
        <v/>
      </c>
      <c r="P24" s="24" t="str">
        <f aca="false">IF(OR($A24="",N($F24)=0),"",$N24/$F24)</f>
        <v/>
      </c>
      <c r="Q24" s="23" t="str">
        <f aca="true">IF(OR($A24="",$I24=""),"",TODAY()-$I24)</f>
        <v/>
      </c>
      <c r="R24" s="23" t="str">
        <f aca="true">IF(OR($A24="",$J24=""),"",$J24-TODAY())</f>
        <v/>
      </c>
      <c r="S24" s="25" t="str">
        <f aca="true">IF($A24="","",IF($O24=0,"Filled",IF(AND($J24&lt;&gt;"",TODAY()&gt;$J24),"Overdue",IF($L24=0,"No Pipeline","Open"))))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2"/>
      <c r="J25" s="22"/>
      <c r="K25" s="23" t="str">
        <f aca="false">IF($A25="","",COUNTIF(Candidates!$E$2:$E$501,$A25))</f>
        <v/>
      </c>
      <c r="L25" s="23" t="str">
        <f aca="false">IF($A25="","",COUNTIFS(Candidates!$E$2:$E$501,$A25,Candidates!$M$2:$M$501,"Active"))</f>
        <v/>
      </c>
      <c r="M25" s="23" t="str">
        <f aca="false">IF($A25="","",COUNTIFS(Candidates!$E$2:$E$501,$A25,Candidates!$T$2:$T$501,"&lt;&gt;"))</f>
        <v/>
      </c>
      <c r="N25" s="23" t="str">
        <f aca="false">IF($A25="","",COUNTIFS(Candidates!$E$2:$E$501,$A25,Candidates!$K$2:$K$501,"Joined"))</f>
        <v/>
      </c>
      <c r="O25" s="23" t="str">
        <f aca="false">IF($A25="","",MAX($F25-$N25,0))</f>
        <v/>
      </c>
      <c r="P25" s="24" t="str">
        <f aca="false">IF(OR($A25="",N($F25)=0),"",$N25/$F25)</f>
        <v/>
      </c>
      <c r="Q25" s="23" t="str">
        <f aca="true">IF(OR($A25="",$I25=""),"",TODAY()-$I25)</f>
        <v/>
      </c>
      <c r="R25" s="23" t="str">
        <f aca="true">IF(OR($A25="",$J25=""),"",$J25-TODAY())</f>
        <v/>
      </c>
      <c r="S25" s="25" t="str">
        <f aca="true">IF($A25="","",IF($O25=0,"Filled",IF(AND($J25&lt;&gt;"",TODAY()&gt;$J25),"Overdue",IF($L25=0,"No Pipeline","Open"))))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2"/>
      <c r="J26" s="22"/>
      <c r="K26" s="23" t="str">
        <f aca="false">IF($A26="","",COUNTIF(Candidates!$E$2:$E$501,$A26))</f>
        <v/>
      </c>
      <c r="L26" s="23" t="str">
        <f aca="false">IF($A26="","",COUNTIFS(Candidates!$E$2:$E$501,$A26,Candidates!$M$2:$M$501,"Active"))</f>
        <v/>
      </c>
      <c r="M26" s="23" t="str">
        <f aca="false">IF($A26="","",COUNTIFS(Candidates!$E$2:$E$501,$A26,Candidates!$T$2:$T$501,"&lt;&gt;"))</f>
        <v/>
      </c>
      <c r="N26" s="23" t="str">
        <f aca="false">IF($A26="","",COUNTIFS(Candidates!$E$2:$E$501,$A26,Candidates!$K$2:$K$501,"Joined"))</f>
        <v/>
      </c>
      <c r="O26" s="23" t="str">
        <f aca="false">IF($A26="","",MAX($F26-$N26,0))</f>
        <v/>
      </c>
      <c r="P26" s="24" t="str">
        <f aca="false">IF(OR($A26="",N($F26)=0),"",$N26/$F26)</f>
        <v/>
      </c>
      <c r="Q26" s="23" t="str">
        <f aca="true">IF(OR($A26="",$I26=""),"",TODAY()-$I26)</f>
        <v/>
      </c>
      <c r="R26" s="23" t="str">
        <f aca="true">IF(OR($A26="",$J26=""),"",$J26-TODAY())</f>
        <v/>
      </c>
      <c r="S26" s="25" t="str">
        <f aca="true">IF($A26="","",IF($O26=0,"Filled",IF(AND($J26&lt;&gt;"",TODAY()&gt;$J26),"Overdue",IF($L26=0,"No Pipeline","Open"))))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2"/>
      <c r="J27" s="22"/>
      <c r="K27" s="23" t="str">
        <f aca="false">IF($A27="","",COUNTIF(Candidates!$E$2:$E$501,$A27))</f>
        <v/>
      </c>
      <c r="L27" s="23" t="str">
        <f aca="false">IF($A27="","",COUNTIFS(Candidates!$E$2:$E$501,$A27,Candidates!$M$2:$M$501,"Active"))</f>
        <v/>
      </c>
      <c r="M27" s="23" t="str">
        <f aca="false">IF($A27="","",COUNTIFS(Candidates!$E$2:$E$501,$A27,Candidates!$T$2:$T$501,"&lt;&gt;"))</f>
        <v/>
      </c>
      <c r="N27" s="23" t="str">
        <f aca="false">IF($A27="","",COUNTIFS(Candidates!$E$2:$E$501,$A27,Candidates!$K$2:$K$501,"Joined"))</f>
        <v/>
      </c>
      <c r="O27" s="23" t="str">
        <f aca="false">IF($A27="","",MAX($F27-$N27,0))</f>
        <v/>
      </c>
      <c r="P27" s="24" t="str">
        <f aca="false">IF(OR($A27="",N($F27)=0),"",$N27/$F27)</f>
        <v/>
      </c>
      <c r="Q27" s="23" t="str">
        <f aca="true">IF(OR($A27="",$I27=""),"",TODAY()-$I27)</f>
        <v/>
      </c>
      <c r="R27" s="23" t="str">
        <f aca="true">IF(OR($A27="",$J27=""),"",$J27-TODAY())</f>
        <v/>
      </c>
      <c r="S27" s="25" t="str">
        <f aca="true">IF($A27="","",IF($O27=0,"Filled",IF(AND($J27&lt;&gt;"",TODAY()&gt;$J27),"Overdue",IF($L27=0,"No Pipeline","Open"))))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2"/>
      <c r="J28" s="22"/>
      <c r="K28" s="23" t="str">
        <f aca="false">IF($A28="","",COUNTIF(Candidates!$E$2:$E$501,$A28))</f>
        <v/>
      </c>
      <c r="L28" s="23" t="str">
        <f aca="false">IF($A28="","",COUNTIFS(Candidates!$E$2:$E$501,$A28,Candidates!$M$2:$M$501,"Active"))</f>
        <v/>
      </c>
      <c r="M28" s="23" t="str">
        <f aca="false">IF($A28="","",COUNTIFS(Candidates!$E$2:$E$501,$A28,Candidates!$T$2:$T$501,"&lt;&gt;"))</f>
        <v/>
      </c>
      <c r="N28" s="23" t="str">
        <f aca="false">IF($A28="","",COUNTIFS(Candidates!$E$2:$E$501,$A28,Candidates!$K$2:$K$501,"Joined"))</f>
        <v/>
      </c>
      <c r="O28" s="23" t="str">
        <f aca="false">IF($A28="","",MAX($F28-$N28,0))</f>
        <v/>
      </c>
      <c r="P28" s="24" t="str">
        <f aca="false">IF(OR($A28="",N($F28)=0),"",$N28/$F28)</f>
        <v/>
      </c>
      <c r="Q28" s="23" t="str">
        <f aca="true">IF(OR($A28="",$I28=""),"",TODAY()-$I28)</f>
        <v/>
      </c>
      <c r="R28" s="23" t="str">
        <f aca="true">IF(OR($A28="",$J28=""),"",$J28-TODAY())</f>
        <v/>
      </c>
      <c r="S28" s="25" t="str">
        <f aca="true">IF($A28="","",IF($O28=0,"Filled",IF(AND($J28&lt;&gt;"",TODAY()&gt;$J28),"Overdue",IF($L28=0,"No Pipeline","Open"))))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2"/>
      <c r="J29" s="22"/>
      <c r="K29" s="23" t="str">
        <f aca="false">IF($A29="","",COUNTIF(Candidates!$E$2:$E$501,$A29))</f>
        <v/>
      </c>
      <c r="L29" s="23" t="str">
        <f aca="false">IF($A29="","",COUNTIFS(Candidates!$E$2:$E$501,$A29,Candidates!$M$2:$M$501,"Active"))</f>
        <v/>
      </c>
      <c r="M29" s="23" t="str">
        <f aca="false">IF($A29="","",COUNTIFS(Candidates!$E$2:$E$501,$A29,Candidates!$T$2:$T$501,"&lt;&gt;"))</f>
        <v/>
      </c>
      <c r="N29" s="23" t="str">
        <f aca="false">IF($A29="","",COUNTIFS(Candidates!$E$2:$E$501,$A29,Candidates!$K$2:$K$501,"Joined"))</f>
        <v/>
      </c>
      <c r="O29" s="23" t="str">
        <f aca="false">IF($A29="","",MAX($F29-$N29,0))</f>
        <v/>
      </c>
      <c r="P29" s="24" t="str">
        <f aca="false">IF(OR($A29="",N($F29)=0),"",$N29/$F29)</f>
        <v/>
      </c>
      <c r="Q29" s="23" t="str">
        <f aca="true">IF(OR($A29="",$I29=""),"",TODAY()-$I29)</f>
        <v/>
      </c>
      <c r="R29" s="23" t="str">
        <f aca="true">IF(OR($A29="",$J29=""),"",$J29-TODAY())</f>
        <v/>
      </c>
      <c r="S29" s="25" t="str">
        <f aca="true">IF($A29="","",IF($O29=0,"Filled",IF(AND($J29&lt;&gt;"",TODAY()&gt;$J29),"Overdue",IF($L29=0,"No Pipeline","Open"))))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2"/>
      <c r="J30" s="22"/>
      <c r="K30" s="23" t="str">
        <f aca="false">IF($A30="","",COUNTIF(Candidates!$E$2:$E$501,$A30))</f>
        <v/>
      </c>
      <c r="L30" s="23" t="str">
        <f aca="false">IF($A30="","",COUNTIFS(Candidates!$E$2:$E$501,$A30,Candidates!$M$2:$M$501,"Active"))</f>
        <v/>
      </c>
      <c r="M30" s="23" t="str">
        <f aca="false">IF($A30="","",COUNTIFS(Candidates!$E$2:$E$501,$A30,Candidates!$T$2:$T$501,"&lt;&gt;"))</f>
        <v/>
      </c>
      <c r="N30" s="23" t="str">
        <f aca="false">IF($A30="","",COUNTIFS(Candidates!$E$2:$E$501,$A30,Candidates!$K$2:$K$501,"Joined"))</f>
        <v/>
      </c>
      <c r="O30" s="23" t="str">
        <f aca="false">IF($A30="","",MAX($F30-$N30,0))</f>
        <v/>
      </c>
      <c r="P30" s="24" t="str">
        <f aca="false">IF(OR($A30="",N($F30)=0),"",$N30/$F30)</f>
        <v/>
      </c>
      <c r="Q30" s="23" t="str">
        <f aca="true">IF(OR($A30="",$I30=""),"",TODAY()-$I30)</f>
        <v/>
      </c>
      <c r="R30" s="23" t="str">
        <f aca="true">IF(OR($A30="",$J30=""),"",$J30-TODAY())</f>
        <v/>
      </c>
      <c r="S30" s="25" t="str">
        <f aca="true">IF($A30="","",IF($O30=0,"Filled",IF(AND($J30&lt;&gt;"",TODAY()&gt;$J30),"Overdue",IF($L30=0,"No Pipeline","Open"))))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2"/>
      <c r="J31" s="22"/>
      <c r="K31" s="23" t="str">
        <f aca="false">IF($A31="","",COUNTIF(Candidates!$E$2:$E$501,$A31))</f>
        <v/>
      </c>
      <c r="L31" s="23" t="str">
        <f aca="false">IF($A31="","",COUNTIFS(Candidates!$E$2:$E$501,$A31,Candidates!$M$2:$M$501,"Active"))</f>
        <v/>
      </c>
      <c r="M31" s="23" t="str">
        <f aca="false">IF($A31="","",COUNTIFS(Candidates!$E$2:$E$501,$A31,Candidates!$T$2:$T$501,"&lt;&gt;"))</f>
        <v/>
      </c>
      <c r="N31" s="23" t="str">
        <f aca="false">IF($A31="","",COUNTIFS(Candidates!$E$2:$E$501,$A31,Candidates!$K$2:$K$501,"Joined"))</f>
        <v/>
      </c>
      <c r="O31" s="23" t="str">
        <f aca="false">IF($A31="","",MAX($F31-$N31,0))</f>
        <v/>
      </c>
      <c r="P31" s="24" t="str">
        <f aca="false">IF(OR($A31="",N($F31)=0),"",$N31/$F31)</f>
        <v/>
      </c>
      <c r="Q31" s="23" t="str">
        <f aca="true">IF(OR($A31="",$I31=""),"",TODAY()-$I31)</f>
        <v/>
      </c>
      <c r="R31" s="23" t="str">
        <f aca="true">IF(OR($A31="",$J31=""),"",$J31-TODAY())</f>
        <v/>
      </c>
      <c r="S31" s="25" t="str">
        <f aca="true">IF($A31="","",IF($O31=0,"Filled",IF(AND($J31&lt;&gt;"",TODAY()&gt;$J31),"Overdue",IF($L31=0,"No Pipeline","Open"))))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2"/>
      <c r="J32" s="22"/>
      <c r="K32" s="23" t="str">
        <f aca="false">IF($A32="","",COUNTIF(Candidates!$E$2:$E$501,$A32))</f>
        <v/>
      </c>
      <c r="L32" s="23" t="str">
        <f aca="false">IF($A32="","",COUNTIFS(Candidates!$E$2:$E$501,$A32,Candidates!$M$2:$M$501,"Active"))</f>
        <v/>
      </c>
      <c r="M32" s="23" t="str">
        <f aca="false">IF($A32="","",COUNTIFS(Candidates!$E$2:$E$501,$A32,Candidates!$T$2:$T$501,"&lt;&gt;"))</f>
        <v/>
      </c>
      <c r="N32" s="23" t="str">
        <f aca="false">IF($A32="","",COUNTIFS(Candidates!$E$2:$E$501,$A32,Candidates!$K$2:$K$501,"Joined"))</f>
        <v/>
      </c>
      <c r="O32" s="23" t="str">
        <f aca="false">IF($A32="","",MAX($F32-$N32,0))</f>
        <v/>
      </c>
      <c r="P32" s="24" t="str">
        <f aca="false">IF(OR($A32="",N($F32)=0),"",$N32/$F32)</f>
        <v/>
      </c>
      <c r="Q32" s="23" t="str">
        <f aca="true">IF(OR($A32="",$I32=""),"",TODAY()-$I32)</f>
        <v/>
      </c>
      <c r="R32" s="23" t="str">
        <f aca="true">IF(OR($A32="",$J32=""),"",$J32-TODAY())</f>
        <v/>
      </c>
      <c r="S32" s="25" t="str">
        <f aca="true">IF($A32="","",IF($O32=0,"Filled",IF(AND($J32&lt;&gt;"",TODAY()&gt;$J32),"Overdue",IF($L32=0,"No Pipeline","Open"))))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2"/>
      <c r="J33" s="22"/>
      <c r="K33" s="23" t="str">
        <f aca="false">IF($A33="","",COUNTIF(Candidates!$E$2:$E$501,$A33))</f>
        <v/>
      </c>
      <c r="L33" s="23" t="str">
        <f aca="false">IF($A33="","",COUNTIFS(Candidates!$E$2:$E$501,$A33,Candidates!$M$2:$M$501,"Active"))</f>
        <v/>
      </c>
      <c r="M33" s="23" t="str">
        <f aca="false">IF($A33="","",COUNTIFS(Candidates!$E$2:$E$501,$A33,Candidates!$T$2:$T$501,"&lt;&gt;"))</f>
        <v/>
      </c>
      <c r="N33" s="23" t="str">
        <f aca="false">IF($A33="","",COUNTIFS(Candidates!$E$2:$E$501,$A33,Candidates!$K$2:$K$501,"Joined"))</f>
        <v/>
      </c>
      <c r="O33" s="23" t="str">
        <f aca="false">IF($A33="","",MAX($F33-$N33,0))</f>
        <v/>
      </c>
      <c r="P33" s="24" t="str">
        <f aca="false">IF(OR($A33="",N($F33)=0),"",$N33/$F33)</f>
        <v/>
      </c>
      <c r="Q33" s="23" t="str">
        <f aca="true">IF(OR($A33="",$I33=""),"",TODAY()-$I33)</f>
        <v/>
      </c>
      <c r="R33" s="23" t="str">
        <f aca="true">IF(OR($A33="",$J33=""),"",$J33-TODAY())</f>
        <v/>
      </c>
      <c r="S33" s="25" t="str">
        <f aca="true">IF($A33="","",IF($O33=0,"Filled",IF(AND($J33&lt;&gt;"",TODAY()&gt;$J33),"Overdue",IF($L33=0,"No Pipeline","Open"))))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2"/>
      <c r="J34" s="22"/>
      <c r="K34" s="23" t="str">
        <f aca="false">IF($A34="","",COUNTIF(Candidates!$E$2:$E$501,$A34))</f>
        <v/>
      </c>
      <c r="L34" s="23" t="str">
        <f aca="false">IF($A34="","",COUNTIFS(Candidates!$E$2:$E$501,$A34,Candidates!$M$2:$M$501,"Active"))</f>
        <v/>
      </c>
      <c r="M34" s="23" t="str">
        <f aca="false">IF($A34="","",COUNTIFS(Candidates!$E$2:$E$501,$A34,Candidates!$T$2:$T$501,"&lt;&gt;"))</f>
        <v/>
      </c>
      <c r="N34" s="23" t="str">
        <f aca="false">IF($A34="","",COUNTIFS(Candidates!$E$2:$E$501,$A34,Candidates!$K$2:$K$501,"Joined"))</f>
        <v/>
      </c>
      <c r="O34" s="23" t="str">
        <f aca="false">IF($A34="","",MAX($F34-$N34,0))</f>
        <v/>
      </c>
      <c r="P34" s="24" t="str">
        <f aca="false">IF(OR($A34="",N($F34)=0),"",$N34/$F34)</f>
        <v/>
      </c>
      <c r="Q34" s="23" t="str">
        <f aca="true">IF(OR($A34="",$I34=""),"",TODAY()-$I34)</f>
        <v/>
      </c>
      <c r="R34" s="23" t="str">
        <f aca="true">IF(OR($A34="",$J34=""),"",$J34-TODAY())</f>
        <v/>
      </c>
      <c r="S34" s="25" t="str">
        <f aca="true">IF($A34="","",IF($O34=0,"Filled",IF(AND($J34&lt;&gt;"",TODAY()&gt;$J34),"Overdue",IF($L34=0,"No Pipeline","Open"))))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2"/>
      <c r="J35" s="22"/>
      <c r="K35" s="23" t="str">
        <f aca="false">IF($A35="","",COUNTIF(Candidates!$E$2:$E$501,$A35))</f>
        <v/>
      </c>
      <c r="L35" s="23" t="str">
        <f aca="false">IF($A35="","",COUNTIFS(Candidates!$E$2:$E$501,$A35,Candidates!$M$2:$M$501,"Active"))</f>
        <v/>
      </c>
      <c r="M35" s="23" t="str">
        <f aca="false">IF($A35="","",COUNTIFS(Candidates!$E$2:$E$501,$A35,Candidates!$T$2:$T$501,"&lt;&gt;"))</f>
        <v/>
      </c>
      <c r="N35" s="23" t="str">
        <f aca="false">IF($A35="","",COUNTIFS(Candidates!$E$2:$E$501,$A35,Candidates!$K$2:$K$501,"Joined"))</f>
        <v/>
      </c>
      <c r="O35" s="23" t="str">
        <f aca="false">IF($A35="","",MAX($F35-$N35,0))</f>
        <v/>
      </c>
      <c r="P35" s="24" t="str">
        <f aca="false">IF(OR($A35="",N($F35)=0),"",$N35/$F35)</f>
        <v/>
      </c>
      <c r="Q35" s="23" t="str">
        <f aca="true">IF(OR($A35="",$I35=""),"",TODAY()-$I35)</f>
        <v/>
      </c>
      <c r="R35" s="23" t="str">
        <f aca="true">IF(OR($A35="",$J35=""),"",$J35-TODAY())</f>
        <v/>
      </c>
      <c r="S35" s="25" t="str">
        <f aca="true">IF($A35="","",IF($O35=0,"Filled",IF(AND($J35&lt;&gt;"",TODAY()&gt;$J35),"Overdue",IF($L35=0,"No Pipeline","Open"))))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2"/>
      <c r="J36" s="22"/>
      <c r="K36" s="23" t="str">
        <f aca="false">IF($A36="","",COUNTIF(Candidates!$E$2:$E$501,$A36))</f>
        <v/>
      </c>
      <c r="L36" s="23" t="str">
        <f aca="false">IF($A36="","",COUNTIFS(Candidates!$E$2:$E$501,$A36,Candidates!$M$2:$M$501,"Active"))</f>
        <v/>
      </c>
      <c r="M36" s="23" t="str">
        <f aca="false">IF($A36="","",COUNTIFS(Candidates!$E$2:$E$501,$A36,Candidates!$T$2:$T$501,"&lt;&gt;"))</f>
        <v/>
      </c>
      <c r="N36" s="23" t="str">
        <f aca="false">IF($A36="","",COUNTIFS(Candidates!$E$2:$E$501,$A36,Candidates!$K$2:$K$501,"Joined"))</f>
        <v/>
      </c>
      <c r="O36" s="23" t="str">
        <f aca="false">IF($A36="","",MAX($F36-$N36,0))</f>
        <v/>
      </c>
      <c r="P36" s="24" t="str">
        <f aca="false">IF(OR($A36="",N($F36)=0),"",$N36/$F36)</f>
        <v/>
      </c>
      <c r="Q36" s="23" t="str">
        <f aca="true">IF(OR($A36="",$I36=""),"",TODAY()-$I36)</f>
        <v/>
      </c>
      <c r="R36" s="23" t="str">
        <f aca="true">IF(OR($A36="",$J36=""),"",$J36-TODAY())</f>
        <v/>
      </c>
      <c r="S36" s="25" t="str">
        <f aca="true">IF($A36="","",IF($O36=0,"Filled",IF(AND($J36&lt;&gt;"",TODAY()&gt;$J36),"Overdue",IF($L36=0,"No Pipeline","Open"))))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2"/>
      <c r="J37" s="22"/>
      <c r="K37" s="23" t="str">
        <f aca="false">IF($A37="","",COUNTIF(Candidates!$E$2:$E$501,$A37))</f>
        <v/>
      </c>
      <c r="L37" s="23" t="str">
        <f aca="false">IF($A37="","",COUNTIFS(Candidates!$E$2:$E$501,$A37,Candidates!$M$2:$M$501,"Active"))</f>
        <v/>
      </c>
      <c r="M37" s="23" t="str">
        <f aca="false">IF($A37="","",COUNTIFS(Candidates!$E$2:$E$501,$A37,Candidates!$T$2:$T$501,"&lt;&gt;"))</f>
        <v/>
      </c>
      <c r="N37" s="23" t="str">
        <f aca="false">IF($A37="","",COUNTIFS(Candidates!$E$2:$E$501,$A37,Candidates!$K$2:$K$501,"Joined"))</f>
        <v/>
      </c>
      <c r="O37" s="23" t="str">
        <f aca="false">IF($A37="","",MAX($F37-$N37,0))</f>
        <v/>
      </c>
      <c r="P37" s="24" t="str">
        <f aca="false">IF(OR($A37="",N($F37)=0),"",$N37/$F37)</f>
        <v/>
      </c>
      <c r="Q37" s="23" t="str">
        <f aca="true">IF(OR($A37="",$I37=""),"",TODAY()-$I37)</f>
        <v/>
      </c>
      <c r="R37" s="23" t="str">
        <f aca="true">IF(OR($A37="",$J37=""),"",$J37-TODAY())</f>
        <v/>
      </c>
      <c r="S37" s="25" t="str">
        <f aca="true">IF($A37="","",IF($O37=0,"Filled",IF(AND($J37&lt;&gt;"",TODAY()&gt;$J37),"Overdue",IF($L37=0,"No Pipeline","Open"))))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2"/>
      <c r="J38" s="22"/>
      <c r="K38" s="23" t="str">
        <f aca="false">IF($A38="","",COUNTIF(Candidates!$E$2:$E$501,$A38))</f>
        <v/>
      </c>
      <c r="L38" s="23" t="str">
        <f aca="false">IF($A38="","",COUNTIFS(Candidates!$E$2:$E$501,$A38,Candidates!$M$2:$M$501,"Active"))</f>
        <v/>
      </c>
      <c r="M38" s="23" t="str">
        <f aca="false">IF($A38="","",COUNTIFS(Candidates!$E$2:$E$501,$A38,Candidates!$T$2:$T$501,"&lt;&gt;"))</f>
        <v/>
      </c>
      <c r="N38" s="23" t="str">
        <f aca="false">IF($A38="","",COUNTIFS(Candidates!$E$2:$E$501,$A38,Candidates!$K$2:$K$501,"Joined"))</f>
        <v/>
      </c>
      <c r="O38" s="23" t="str">
        <f aca="false">IF($A38="","",MAX($F38-$N38,0))</f>
        <v/>
      </c>
      <c r="P38" s="24" t="str">
        <f aca="false">IF(OR($A38="",N($F38)=0),"",$N38/$F38)</f>
        <v/>
      </c>
      <c r="Q38" s="23" t="str">
        <f aca="true">IF(OR($A38="",$I38=""),"",TODAY()-$I38)</f>
        <v/>
      </c>
      <c r="R38" s="23" t="str">
        <f aca="true">IF(OR($A38="",$J38=""),"",$J38-TODAY())</f>
        <v/>
      </c>
      <c r="S38" s="25" t="str">
        <f aca="true">IF($A38="","",IF($O38=0,"Filled",IF(AND($J38&lt;&gt;"",TODAY()&gt;$J38),"Overdue",IF($L38=0,"No Pipeline","Open"))))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2"/>
      <c r="J39" s="22"/>
      <c r="K39" s="23" t="str">
        <f aca="false">IF($A39="","",COUNTIF(Candidates!$E$2:$E$501,$A39))</f>
        <v/>
      </c>
      <c r="L39" s="23" t="str">
        <f aca="false">IF($A39="","",COUNTIFS(Candidates!$E$2:$E$501,$A39,Candidates!$M$2:$M$501,"Active"))</f>
        <v/>
      </c>
      <c r="M39" s="23" t="str">
        <f aca="false">IF($A39="","",COUNTIFS(Candidates!$E$2:$E$501,$A39,Candidates!$T$2:$T$501,"&lt;&gt;"))</f>
        <v/>
      </c>
      <c r="N39" s="23" t="str">
        <f aca="false">IF($A39="","",COUNTIFS(Candidates!$E$2:$E$501,$A39,Candidates!$K$2:$K$501,"Joined"))</f>
        <v/>
      </c>
      <c r="O39" s="23" t="str">
        <f aca="false">IF($A39="","",MAX($F39-$N39,0))</f>
        <v/>
      </c>
      <c r="P39" s="24" t="str">
        <f aca="false">IF(OR($A39="",N($F39)=0),"",$N39/$F39)</f>
        <v/>
      </c>
      <c r="Q39" s="23" t="str">
        <f aca="true">IF(OR($A39="",$I39=""),"",TODAY()-$I39)</f>
        <v/>
      </c>
      <c r="R39" s="23" t="str">
        <f aca="true">IF(OR($A39="",$J39=""),"",$J39-TODAY())</f>
        <v/>
      </c>
      <c r="S39" s="25" t="str">
        <f aca="true">IF($A39="","",IF($O39=0,"Filled",IF(AND($J39&lt;&gt;"",TODAY()&gt;$J39),"Overdue",IF($L39=0,"No Pipeline","Open"))))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2"/>
      <c r="J40" s="22"/>
      <c r="K40" s="23" t="str">
        <f aca="false">IF($A40="","",COUNTIF(Candidates!$E$2:$E$501,$A40))</f>
        <v/>
      </c>
      <c r="L40" s="23" t="str">
        <f aca="false">IF($A40="","",COUNTIFS(Candidates!$E$2:$E$501,$A40,Candidates!$M$2:$M$501,"Active"))</f>
        <v/>
      </c>
      <c r="M40" s="23" t="str">
        <f aca="false">IF($A40="","",COUNTIFS(Candidates!$E$2:$E$501,$A40,Candidates!$T$2:$T$501,"&lt;&gt;"))</f>
        <v/>
      </c>
      <c r="N40" s="23" t="str">
        <f aca="false">IF($A40="","",COUNTIFS(Candidates!$E$2:$E$501,$A40,Candidates!$K$2:$K$501,"Joined"))</f>
        <v/>
      </c>
      <c r="O40" s="23" t="str">
        <f aca="false">IF($A40="","",MAX($F40-$N40,0))</f>
        <v/>
      </c>
      <c r="P40" s="24" t="str">
        <f aca="false">IF(OR($A40="",N($F40)=0),"",$N40/$F40)</f>
        <v/>
      </c>
      <c r="Q40" s="23" t="str">
        <f aca="true">IF(OR($A40="",$I40=""),"",TODAY()-$I40)</f>
        <v/>
      </c>
      <c r="R40" s="23" t="str">
        <f aca="true">IF(OR($A40="",$J40=""),"",$J40-TODAY())</f>
        <v/>
      </c>
      <c r="S40" s="25" t="str">
        <f aca="true">IF($A40="","",IF($O40=0,"Filled",IF(AND($J40&lt;&gt;"",TODAY()&gt;$J40),"Overdue",IF($L40=0,"No Pipeline","Open"))))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2"/>
      <c r="J41" s="22"/>
      <c r="K41" s="23" t="str">
        <f aca="false">IF($A41="","",COUNTIF(Candidates!$E$2:$E$501,$A41))</f>
        <v/>
      </c>
      <c r="L41" s="23" t="str">
        <f aca="false">IF($A41="","",COUNTIFS(Candidates!$E$2:$E$501,$A41,Candidates!$M$2:$M$501,"Active"))</f>
        <v/>
      </c>
      <c r="M41" s="23" t="str">
        <f aca="false">IF($A41="","",COUNTIFS(Candidates!$E$2:$E$501,$A41,Candidates!$T$2:$T$501,"&lt;&gt;"))</f>
        <v/>
      </c>
      <c r="N41" s="23" t="str">
        <f aca="false">IF($A41="","",COUNTIFS(Candidates!$E$2:$E$501,$A41,Candidates!$K$2:$K$501,"Joined"))</f>
        <v/>
      </c>
      <c r="O41" s="23" t="str">
        <f aca="false">IF($A41="","",MAX($F41-$N41,0))</f>
        <v/>
      </c>
      <c r="P41" s="24" t="str">
        <f aca="false">IF(OR($A41="",N($F41)=0),"",$N41/$F41)</f>
        <v/>
      </c>
      <c r="Q41" s="23" t="str">
        <f aca="true">IF(OR($A41="",$I41=""),"",TODAY()-$I41)</f>
        <v/>
      </c>
      <c r="R41" s="23" t="str">
        <f aca="true">IF(OR($A41="",$J41=""),"",$J41-TODAY())</f>
        <v/>
      </c>
      <c r="S41" s="25" t="str">
        <f aca="true">IF($A41="","",IF($O41=0,"Filled",IF(AND($J41&lt;&gt;"",TODAY()&gt;$J41),"Overdue",IF($L41=0,"No Pipeline","Open"))))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2"/>
      <c r="J42" s="22"/>
      <c r="K42" s="23" t="str">
        <f aca="false">IF($A42="","",COUNTIF(Candidates!$E$2:$E$501,$A42))</f>
        <v/>
      </c>
      <c r="L42" s="23" t="str">
        <f aca="false">IF($A42="","",COUNTIFS(Candidates!$E$2:$E$501,$A42,Candidates!$M$2:$M$501,"Active"))</f>
        <v/>
      </c>
      <c r="M42" s="23" t="str">
        <f aca="false">IF($A42="","",COUNTIFS(Candidates!$E$2:$E$501,$A42,Candidates!$T$2:$T$501,"&lt;&gt;"))</f>
        <v/>
      </c>
      <c r="N42" s="23" t="str">
        <f aca="false">IF($A42="","",COUNTIFS(Candidates!$E$2:$E$501,$A42,Candidates!$K$2:$K$501,"Joined"))</f>
        <v/>
      </c>
      <c r="O42" s="23" t="str">
        <f aca="false">IF($A42="","",MAX($F42-$N42,0))</f>
        <v/>
      </c>
      <c r="P42" s="24" t="str">
        <f aca="false">IF(OR($A42="",N($F42)=0),"",$N42/$F42)</f>
        <v/>
      </c>
      <c r="Q42" s="23" t="str">
        <f aca="true">IF(OR($A42="",$I42=""),"",TODAY()-$I42)</f>
        <v/>
      </c>
      <c r="R42" s="23" t="str">
        <f aca="true">IF(OR($A42="",$J42=""),"",$J42-TODAY())</f>
        <v/>
      </c>
      <c r="S42" s="25" t="str">
        <f aca="true">IF($A42="","",IF($O42=0,"Filled",IF(AND($J42&lt;&gt;"",TODAY()&gt;$J42),"Overdue",IF($L42=0,"No Pipeline","Open"))))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2"/>
      <c r="J43" s="22"/>
      <c r="K43" s="23" t="str">
        <f aca="false">IF($A43="","",COUNTIF(Candidates!$E$2:$E$501,$A43))</f>
        <v/>
      </c>
      <c r="L43" s="23" t="str">
        <f aca="false">IF($A43="","",COUNTIFS(Candidates!$E$2:$E$501,$A43,Candidates!$M$2:$M$501,"Active"))</f>
        <v/>
      </c>
      <c r="M43" s="23" t="str">
        <f aca="false">IF($A43="","",COUNTIFS(Candidates!$E$2:$E$501,$A43,Candidates!$T$2:$T$501,"&lt;&gt;"))</f>
        <v/>
      </c>
      <c r="N43" s="23" t="str">
        <f aca="false">IF($A43="","",COUNTIFS(Candidates!$E$2:$E$501,$A43,Candidates!$K$2:$K$501,"Joined"))</f>
        <v/>
      </c>
      <c r="O43" s="23" t="str">
        <f aca="false">IF($A43="","",MAX($F43-$N43,0))</f>
        <v/>
      </c>
      <c r="P43" s="24" t="str">
        <f aca="false">IF(OR($A43="",N($F43)=0),"",$N43/$F43)</f>
        <v/>
      </c>
      <c r="Q43" s="23" t="str">
        <f aca="true">IF(OR($A43="",$I43=""),"",TODAY()-$I43)</f>
        <v/>
      </c>
      <c r="R43" s="23" t="str">
        <f aca="true">IF(OR($A43="",$J43=""),"",$J43-TODAY())</f>
        <v/>
      </c>
      <c r="S43" s="25" t="str">
        <f aca="true">IF($A43="","",IF($O43=0,"Filled",IF(AND($J43&lt;&gt;"",TODAY()&gt;$J43),"Overdue",IF($L43=0,"No Pipeline","Open"))))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2"/>
      <c r="J44" s="22"/>
      <c r="K44" s="23" t="str">
        <f aca="false">IF($A44="","",COUNTIF(Candidates!$E$2:$E$501,$A44))</f>
        <v/>
      </c>
      <c r="L44" s="23" t="str">
        <f aca="false">IF($A44="","",COUNTIFS(Candidates!$E$2:$E$501,$A44,Candidates!$M$2:$M$501,"Active"))</f>
        <v/>
      </c>
      <c r="M44" s="23" t="str">
        <f aca="false">IF($A44="","",COUNTIFS(Candidates!$E$2:$E$501,$A44,Candidates!$T$2:$T$501,"&lt;&gt;"))</f>
        <v/>
      </c>
      <c r="N44" s="23" t="str">
        <f aca="false">IF($A44="","",COUNTIFS(Candidates!$E$2:$E$501,$A44,Candidates!$K$2:$K$501,"Joined"))</f>
        <v/>
      </c>
      <c r="O44" s="23" t="str">
        <f aca="false">IF($A44="","",MAX($F44-$N44,0))</f>
        <v/>
      </c>
      <c r="P44" s="24" t="str">
        <f aca="false">IF(OR($A44="",N($F44)=0),"",$N44/$F44)</f>
        <v/>
      </c>
      <c r="Q44" s="23" t="str">
        <f aca="true">IF(OR($A44="",$I44=""),"",TODAY()-$I44)</f>
        <v/>
      </c>
      <c r="R44" s="23" t="str">
        <f aca="true">IF(OR($A44="",$J44=""),"",$J44-TODAY())</f>
        <v/>
      </c>
      <c r="S44" s="25" t="str">
        <f aca="true">IF($A44="","",IF($O44=0,"Filled",IF(AND($J44&lt;&gt;"",TODAY()&gt;$J44),"Overdue",IF($L44=0,"No Pipeline","Open"))))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2"/>
      <c r="J45" s="22"/>
      <c r="K45" s="23" t="str">
        <f aca="false">IF($A45="","",COUNTIF(Candidates!$E$2:$E$501,$A45))</f>
        <v/>
      </c>
      <c r="L45" s="23" t="str">
        <f aca="false">IF($A45="","",COUNTIFS(Candidates!$E$2:$E$501,$A45,Candidates!$M$2:$M$501,"Active"))</f>
        <v/>
      </c>
      <c r="M45" s="23" t="str">
        <f aca="false">IF($A45="","",COUNTIFS(Candidates!$E$2:$E$501,$A45,Candidates!$T$2:$T$501,"&lt;&gt;"))</f>
        <v/>
      </c>
      <c r="N45" s="23" t="str">
        <f aca="false">IF($A45="","",COUNTIFS(Candidates!$E$2:$E$501,$A45,Candidates!$K$2:$K$501,"Joined"))</f>
        <v/>
      </c>
      <c r="O45" s="23" t="str">
        <f aca="false">IF($A45="","",MAX($F45-$N45,0))</f>
        <v/>
      </c>
      <c r="P45" s="24" t="str">
        <f aca="false">IF(OR($A45="",N($F45)=0),"",$N45/$F45)</f>
        <v/>
      </c>
      <c r="Q45" s="23" t="str">
        <f aca="true">IF(OR($A45="",$I45=""),"",TODAY()-$I45)</f>
        <v/>
      </c>
      <c r="R45" s="23" t="str">
        <f aca="true">IF(OR($A45="",$J45=""),"",$J45-TODAY())</f>
        <v/>
      </c>
      <c r="S45" s="25" t="str">
        <f aca="true">IF($A45="","",IF($O45=0,"Filled",IF(AND($J45&lt;&gt;"",TODAY()&gt;$J45),"Overdue",IF($L45=0,"No Pipeline","Open"))))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2"/>
      <c r="J46" s="22"/>
      <c r="K46" s="23" t="str">
        <f aca="false">IF($A46="","",COUNTIF(Candidates!$E$2:$E$501,$A46))</f>
        <v/>
      </c>
      <c r="L46" s="23" t="str">
        <f aca="false">IF($A46="","",COUNTIFS(Candidates!$E$2:$E$501,$A46,Candidates!$M$2:$M$501,"Active"))</f>
        <v/>
      </c>
      <c r="M46" s="23" t="str">
        <f aca="false">IF($A46="","",COUNTIFS(Candidates!$E$2:$E$501,$A46,Candidates!$T$2:$T$501,"&lt;&gt;"))</f>
        <v/>
      </c>
      <c r="N46" s="23" t="str">
        <f aca="false">IF($A46="","",COUNTIFS(Candidates!$E$2:$E$501,$A46,Candidates!$K$2:$K$501,"Joined"))</f>
        <v/>
      </c>
      <c r="O46" s="23" t="str">
        <f aca="false">IF($A46="","",MAX($F46-$N46,0))</f>
        <v/>
      </c>
      <c r="P46" s="24" t="str">
        <f aca="false">IF(OR($A46="",N($F46)=0),"",$N46/$F46)</f>
        <v/>
      </c>
      <c r="Q46" s="23" t="str">
        <f aca="true">IF(OR($A46="",$I46=""),"",TODAY()-$I46)</f>
        <v/>
      </c>
      <c r="R46" s="23" t="str">
        <f aca="true">IF(OR($A46="",$J46=""),"",$J46-TODAY())</f>
        <v/>
      </c>
      <c r="S46" s="25" t="str">
        <f aca="true">IF($A46="","",IF($O46=0,"Filled",IF(AND($J46&lt;&gt;"",TODAY()&gt;$J46),"Overdue",IF($L46=0,"No Pipeline","Open"))))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2"/>
      <c r="J47" s="22"/>
      <c r="K47" s="23" t="str">
        <f aca="false">IF($A47="","",COUNTIF(Candidates!$E$2:$E$501,$A47))</f>
        <v/>
      </c>
      <c r="L47" s="23" t="str">
        <f aca="false">IF($A47="","",COUNTIFS(Candidates!$E$2:$E$501,$A47,Candidates!$M$2:$M$501,"Active"))</f>
        <v/>
      </c>
      <c r="M47" s="23" t="str">
        <f aca="false">IF($A47="","",COUNTIFS(Candidates!$E$2:$E$501,$A47,Candidates!$T$2:$T$501,"&lt;&gt;"))</f>
        <v/>
      </c>
      <c r="N47" s="23" t="str">
        <f aca="false">IF($A47="","",COUNTIFS(Candidates!$E$2:$E$501,$A47,Candidates!$K$2:$K$501,"Joined"))</f>
        <v/>
      </c>
      <c r="O47" s="23" t="str">
        <f aca="false">IF($A47="","",MAX($F47-$N47,0))</f>
        <v/>
      </c>
      <c r="P47" s="24" t="str">
        <f aca="false">IF(OR($A47="",N($F47)=0),"",$N47/$F47)</f>
        <v/>
      </c>
      <c r="Q47" s="23" t="str">
        <f aca="true">IF(OR($A47="",$I47=""),"",TODAY()-$I47)</f>
        <v/>
      </c>
      <c r="R47" s="23" t="str">
        <f aca="true">IF(OR($A47="",$J47=""),"",$J47-TODAY())</f>
        <v/>
      </c>
      <c r="S47" s="25" t="str">
        <f aca="true">IF($A47="","",IF($O47=0,"Filled",IF(AND($J47&lt;&gt;"",TODAY()&gt;$J47),"Overdue",IF($L47=0,"No Pipeline","Open"))))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2"/>
      <c r="J48" s="22"/>
      <c r="K48" s="23" t="str">
        <f aca="false">IF($A48="","",COUNTIF(Candidates!$E$2:$E$501,$A48))</f>
        <v/>
      </c>
      <c r="L48" s="23" t="str">
        <f aca="false">IF($A48="","",COUNTIFS(Candidates!$E$2:$E$501,$A48,Candidates!$M$2:$M$501,"Active"))</f>
        <v/>
      </c>
      <c r="M48" s="23" t="str">
        <f aca="false">IF($A48="","",COUNTIFS(Candidates!$E$2:$E$501,$A48,Candidates!$T$2:$T$501,"&lt;&gt;"))</f>
        <v/>
      </c>
      <c r="N48" s="23" t="str">
        <f aca="false">IF($A48="","",COUNTIFS(Candidates!$E$2:$E$501,$A48,Candidates!$K$2:$K$501,"Joined"))</f>
        <v/>
      </c>
      <c r="O48" s="23" t="str">
        <f aca="false">IF($A48="","",MAX($F48-$N48,0))</f>
        <v/>
      </c>
      <c r="P48" s="24" t="str">
        <f aca="false">IF(OR($A48="",N($F48)=0),"",$N48/$F48)</f>
        <v/>
      </c>
      <c r="Q48" s="23" t="str">
        <f aca="true">IF(OR($A48="",$I48=""),"",TODAY()-$I48)</f>
        <v/>
      </c>
      <c r="R48" s="23" t="str">
        <f aca="true">IF(OR($A48="",$J48=""),"",$J48-TODAY())</f>
        <v/>
      </c>
      <c r="S48" s="25" t="str">
        <f aca="true">IF($A48="","",IF($O48=0,"Filled",IF(AND($J48&lt;&gt;"",TODAY()&gt;$J48),"Overdue",IF($L48=0,"No Pipeline","Open"))))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2"/>
      <c r="J49" s="22"/>
      <c r="K49" s="23" t="str">
        <f aca="false">IF($A49="","",COUNTIF(Candidates!$E$2:$E$501,$A49))</f>
        <v/>
      </c>
      <c r="L49" s="23" t="str">
        <f aca="false">IF($A49="","",COUNTIFS(Candidates!$E$2:$E$501,$A49,Candidates!$M$2:$M$501,"Active"))</f>
        <v/>
      </c>
      <c r="M49" s="23" t="str">
        <f aca="false">IF($A49="","",COUNTIFS(Candidates!$E$2:$E$501,$A49,Candidates!$T$2:$T$501,"&lt;&gt;"))</f>
        <v/>
      </c>
      <c r="N49" s="23" t="str">
        <f aca="false">IF($A49="","",COUNTIFS(Candidates!$E$2:$E$501,$A49,Candidates!$K$2:$K$501,"Joined"))</f>
        <v/>
      </c>
      <c r="O49" s="23" t="str">
        <f aca="false">IF($A49="","",MAX($F49-$N49,0))</f>
        <v/>
      </c>
      <c r="P49" s="24" t="str">
        <f aca="false">IF(OR($A49="",N($F49)=0),"",$N49/$F49)</f>
        <v/>
      </c>
      <c r="Q49" s="23" t="str">
        <f aca="true">IF(OR($A49="",$I49=""),"",TODAY()-$I49)</f>
        <v/>
      </c>
      <c r="R49" s="23" t="str">
        <f aca="true">IF(OR($A49="",$J49=""),"",$J49-TODAY())</f>
        <v/>
      </c>
      <c r="S49" s="25" t="str">
        <f aca="true">IF($A49="","",IF($O49=0,"Filled",IF(AND($J49&lt;&gt;"",TODAY()&gt;$J49),"Overdue",IF($L49=0,"No Pipeline","Open"))))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2"/>
      <c r="J50" s="22"/>
      <c r="K50" s="23" t="str">
        <f aca="false">IF($A50="","",COUNTIF(Candidates!$E$2:$E$501,$A50))</f>
        <v/>
      </c>
      <c r="L50" s="23" t="str">
        <f aca="false">IF($A50="","",COUNTIFS(Candidates!$E$2:$E$501,$A50,Candidates!$M$2:$M$501,"Active"))</f>
        <v/>
      </c>
      <c r="M50" s="23" t="str">
        <f aca="false">IF($A50="","",COUNTIFS(Candidates!$E$2:$E$501,$A50,Candidates!$T$2:$T$501,"&lt;&gt;"))</f>
        <v/>
      </c>
      <c r="N50" s="23" t="str">
        <f aca="false">IF($A50="","",COUNTIFS(Candidates!$E$2:$E$501,$A50,Candidates!$K$2:$K$501,"Joined"))</f>
        <v/>
      </c>
      <c r="O50" s="23" t="str">
        <f aca="false">IF($A50="","",MAX($F50-$N50,0))</f>
        <v/>
      </c>
      <c r="P50" s="24" t="str">
        <f aca="false">IF(OR($A50="",N($F50)=0),"",$N50/$F50)</f>
        <v/>
      </c>
      <c r="Q50" s="23" t="str">
        <f aca="true">IF(OR($A50="",$I50=""),"",TODAY()-$I50)</f>
        <v/>
      </c>
      <c r="R50" s="23" t="str">
        <f aca="true">IF(OR($A50="",$J50=""),"",$J50-TODAY())</f>
        <v/>
      </c>
      <c r="S50" s="25" t="str">
        <f aca="true">IF($A50="","",IF($O50=0,"Filled",IF(AND($J50&lt;&gt;"",TODAY()&gt;$J50),"Overdue",IF($L50=0,"No Pipeline","Open"))))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2"/>
      <c r="J51" s="22"/>
      <c r="K51" s="23" t="str">
        <f aca="false">IF($A51="","",COUNTIF(Candidates!$E$2:$E$501,$A51))</f>
        <v/>
      </c>
      <c r="L51" s="23" t="str">
        <f aca="false">IF($A51="","",COUNTIFS(Candidates!$E$2:$E$501,$A51,Candidates!$M$2:$M$501,"Active"))</f>
        <v/>
      </c>
      <c r="M51" s="23" t="str">
        <f aca="false">IF($A51="","",COUNTIFS(Candidates!$E$2:$E$501,$A51,Candidates!$T$2:$T$501,"&lt;&gt;"))</f>
        <v/>
      </c>
      <c r="N51" s="23" t="str">
        <f aca="false">IF($A51="","",COUNTIFS(Candidates!$E$2:$E$501,$A51,Candidates!$K$2:$K$501,"Joined"))</f>
        <v/>
      </c>
      <c r="O51" s="23" t="str">
        <f aca="false">IF($A51="","",MAX($F51-$N51,0))</f>
        <v/>
      </c>
      <c r="P51" s="24" t="str">
        <f aca="false">IF(OR($A51="",N($F51)=0),"",$N51/$F51)</f>
        <v/>
      </c>
      <c r="Q51" s="23" t="str">
        <f aca="true">IF(OR($A51="",$I51=""),"",TODAY()-$I51)</f>
        <v/>
      </c>
      <c r="R51" s="23" t="str">
        <f aca="true">IF(OR($A51="",$J51=""),"",$J51-TODAY())</f>
        <v/>
      </c>
      <c r="S51" s="25" t="str">
        <f aca="true">IF($A51="","",IF($O51=0,"Filled",IF(AND($J51&lt;&gt;"",TODAY()&gt;$J51),"Overdue",IF($L51=0,"No Pipeline","Open"))))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2"/>
      <c r="J52" s="22"/>
      <c r="K52" s="23" t="str">
        <f aca="false">IF($A52="","",COUNTIF(Candidates!$E$2:$E$501,$A52))</f>
        <v/>
      </c>
      <c r="L52" s="23" t="str">
        <f aca="false">IF($A52="","",COUNTIFS(Candidates!$E$2:$E$501,$A52,Candidates!$M$2:$M$501,"Active"))</f>
        <v/>
      </c>
      <c r="M52" s="23" t="str">
        <f aca="false">IF($A52="","",COUNTIFS(Candidates!$E$2:$E$501,$A52,Candidates!$T$2:$T$501,"&lt;&gt;"))</f>
        <v/>
      </c>
      <c r="N52" s="23" t="str">
        <f aca="false">IF($A52="","",COUNTIFS(Candidates!$E$2:$E$501,$A52,Candidates!$K$2:$K$501,"Joined"))</f>
        <v/>
      </c>
      <c r="O52" s="23" t="str">
        <f aca="false">IF($A52="","",MAX($F52-$N52,0))</f>
        <v/>
      </c>
      <c r="P52" s="24" t="str">
        <f aca="false">IF(OR($A52="",N($F52)=0),"",$N52/$F52)</f>
        <v/>
      </c>
      <c r="Q52" s="23" t="str">
        <f aca="true">IF(OR($A52="",$I52=""),"",TODAY()-$I52)</f>
        <v/>
      </c>
      <c r="R52" s="23" t="str">
        <f aca="true">IF(OR($A52="",$J52=""),"",$J52-TODAY())</f>
        <v/>
      </c>
      <c r="S52" s="25" t="str">
        <f aca="true">IF($A52="","",IF($O52=0,"Filled",IF(AND($J52&lt;&gt;"",TODAY()&gt;$J52),"Overdue",IF($L52=0,"No Pipeline","Open"))))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2"/>
      <c r="J53" s="22"/>
      <c r="K53" s="23" t="str">
        <f aca="false">IF($A53="","",COUNTIF(Candidates!$E$2:$E$501,$A53))</f>
        <v/>
      </c>
      <c r="L53" s="23" t="str">
        <f aca="false">IF($A53="","",COUNTIFS(Candidates!$E$2:$E$501,$A53,Candidates!$M$2:$M$501,"Active"))</f>
        <v/>
      </c>
      <c r="M53" s="23" t="str">
        <f aca="false">IF($A53="","",COUNTIFS(Candidates!$E$2:$E$501,$A53,Candidates!$T$2:$T$501,"&lt;&gt;"))</f>
        <v/>
      </c>
      <c r="N53" s="23" t="str">
        <f aca="false">IF($A53="","",COUNTIFS(Candidates!$E$2:$E$501,$A53,Candidates!$K$2:$K$501,"Joined"))</f>
        <v/>
      </c>
      <c r="O53" s="23" t="str">
        <f aca="false">IF($A53="","",MAX($F53-$N53,0))</f>
        <v/>
      </c>
      <c r="P53" s="24" t="str">
        <f aca="false">IF(OR($A53="",N($F53)=0),"",$N53/$F53)</f>
        <v/>
      </c>
      <c r="Q53" s="23" t="str">
        <f aca="true">IF(OR($A53="",$I53=""),"",TODAY()-$I53)</f>
        <v/>
      </c>
      <c r="R53" s="23" t="str">
        <f aca="true">IF(OR($A53="",$J53=""),"",$J53-TODAY())</f>
        <v/>
      </c>
      <c r="S53" s="25" t="str">
        <f aca="true">IF($A53="","",IF($O53=0,"Filled",IF(AND($J53&lt;&gt;"",TODAY()&gt;$J53),"Overdue",IF($L53=0,"No Pipeline","Open"))))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2"/>
      <c r="J54" s="22"/>
      <c r="K54" s="23" t="str">
        <f aca="false">IF($A54="","",COUNTIF(Candidates!$E$2:$E$501,$A54))</f>
        <v/>
      </c>
      <c r="L54" s="23" t="str">
        <f aca="false">IF($A54="","",COUNTIFS(Candidates!$E$2:$E$501,$A54,Candidates!$M$2:$M$501,"Active"))</f>
        <v/>
      </c>
      <c r="M54" s="23" t="str">
        <f aca="false">IF($A54="","",COUNTIFS(Candidates!$E$2:$E$501,$A54,Candidates!$T$2:$T$501,"&lt;&gt;"))</f>
        <v/>
      </c>
      <c r="N54" s="23" t="str">
        <f aca="false">IF($A54="","",COUNTIFS(Candidates!$E$2:$E$501,$A54,Candidates!$K$2:$K$501,"Joined"))</f>
        <v/>
      </c>
      <c r="O54" s="23" t="str">
        <f aca="false">IF($A54="","",MAX($F54-$N54,0))</f>
        <v/>
      </c>
      <c r="P54" s="24" t="str">
        <f aca="false">IF(OR($A54="",N($F54)=0),"",$N54/$F54)</f>
        <v/>
      </c>
      <c r="Q54" s="23" t="str">
        <f aca="true">IF(OR($A54="",$I54=""),"",TODAY()-$I54)</f>
        <v/>
      </c>
      <c r="R54" s="23" t="str">
        <f aca="true">IF(OR($A54="",$J54=""),"",$J54-TODAY())</f>
        <v/>
      </c>
      <c r="S54" s="25" t="str">
        <f aca="true">IF($A54="","",IF($O54=0,"Filled",IF(AND($J54&lt;&gt;"",TODAY()&gt;$J54),"Overdue",IF($L54=0,"No Pipeline","Open"))))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2"/>
      <c r="J55" s="22"/>
      <c r="K55" s="23" t="str">
        <f aca="false">IF($A55="","",COUNTIF(Candidates!$E$2:$E$501,$A55))</f>
        <v/>
      </c>
      <c r="L55" s="23" t="str">
        <f aca="false">IF($A55="","",COUNTIFS(Candidates!$E$2:$E$501,$A55,Candidates!$M$2:$M$501,"Active"))</f>
        <v/>
      </c>
      <c r="M55" s="23" t="str">
        <f aca="false">IF($A55="","",COUNTIFS(Candidates!$E$2:$E$501,$A55,Candidates!$T$2:$T$501,"&lt;&gt;"))</f>
        <v/>
      </c>
      <c r="N55" s="23" t="str">
        <f aca="false">IF($A55="","",COUNTIFS(Candidates!$E$2:$E$501,$A55,Candidates!$K$2:$K$501,"Joined"))</f>
        <v/>
      </c>
      <c r="O55" s="23" t="str">
        <f aca="false">IF($A55="","",MAX($F55-$N55,0))</f>
        <v/>
      </c>
      <c r="P55" s="24" t="str">
        <f aca="false">IF(OR($A55="",N($F55)=0),"",$N55/$F55)</f>
        <v/>
      </c>
      <c r="Q55" s="23" t="str">
        <f aca="true">IF(OR($A55="",$I55=""),"",TODAY()-$I55)</f>
        <v/>
      </c>
      <c r="R55" s="23" t="str">
        <f aca="true">IF(OR($A55="",$J55=""),"",$J55-TODAY())</f>
        <v/>
      </c>
      <c r="S55" s="25" t="str">
        <f aca="true">IF($A55="","",IF($O55=0,"Filled",IF(AND($J55&lt;&gt;"",TODAY()&gt;$J55),"Overdue",IF($L55=0,"No Pipeline","Open"))))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2"/>
      <c r="J56" s="22"/>
      <c r="K56" s="23" t="str">
        <f aca="false">IF($A56="","",COUNTIF(Candidates!$E$2:$E$501,$A56))</f>
        <v/>
      </c>
      <c r="L56" s="23" t="str">
        <f aca="false">IF($A56="","",COUNTIFS(Candidates!$E$2:$E$501,$A56,Candidates!$M$2:$M$501,"Active"))</f>
        <v/>
      </c>
      <c r="M56" s="23" t="str">
        <f aca="false">IF($A56="","",COUNTIFS(Candidates!$E$2:$E$501,$A56,Candidates!$T$2:$T$501,"&lt;&gt;"))</f>
        <v/>
      </c>
      <c r="N56" s="23" t="str">
        <f aca="false">IF($A56="","",COUNTIFS(Candidates!$E$2:$E$501,$A56,Candidates!$K$2:$K$501,"Joined"))</f>
        <v/>
      </c>
      <c r="O56" s="23" t="str">
        <f aca="false">IF($A56="","",MAX($F56-$N56,0))</f>
        <v/>
      </c>
      <c r="P56" s="24" t="str">
        <f aca="false">IF(OR($A56="",N($F56)=0),"",$N56/$F56)</f>
        <v/>
      </c>
      <c r="Q56" s="23" t="str">
        <f aca="true">IF(OR($A56="",$I56=""),"",TODAY()-$I56)</f>
        <v/>
      </c>
      <c r="R56" s="23" t="str">
        <f aca="true">IF(OR($A56="",$J56=""),"",$J56-TODAY())</f>
        <v/>
      </c>
      <c r="S56" s="25" t="str">
        <f aca="true">IF($A56="","",IF($O56=0,"Filled",IF(AND($J56&lt;&gt;"",TODAY()&gt;$J56),"Overdue",IF($L56=0,"No Pipeline","Open"))))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2"/>
      <c r="J57" s="22"/>
      <c r="K57" s="23" t="str">
        <f aca="false">IF($A57="","",COUNTIF(Candidates!$E$2:$E$501,$A57))</f>
        <v/>
      </c>
      <c r="L57" s="23" t="str">
        <f aca="false">IF($A57="","",COUNTIFS(Candidates!$E$2:$E$501,$A57,Candidates!$M$2:$M$501,"Active"))</f>
        <v/>
      </c>
      <c r="M57" s="23" t="str">
        <f aca="false">IF($A57="","",COUNTIFS(Candidates!$E$2:$E$501,$A57,Candidates!$T$2:$T$501,"&lt;&gt;"))</f>
        <v/>
      </c>
      <c r="N57" s="23" t="str">
        <f aca="false">IF($A57="","",COUNTIFS(Candidates!$E$2:$E$501,$A57,Candidates!$K$2:$K$501,"Joined"))</f>
        <v/>
      </c>
      <c r="O57" s="23" t="str">
        <f aca="false">IF($A57="","",MAX($F57-$N57,0))</f>
        <v/>
      </c>
      <c r="P57" s="24" t="str">
        <f aca="false">IF(OR($A57="",N($F57)=0),"",$N57/$F57)</f>
        <v/>
      </c>
      <c r="Q57" s="23" t="str">
        <f aca="true">IF(OR($A57="",$I57=""),"",TODAY()-$I57)</f>
        <v/>
      </c>
      <c r="R57" s="23" t="str">
        <f aca="true">IF(OR($A57="",$J57=""),"",$J57-TODAY())</f>
        <v/>
      </c>
      <c r="S57" s="25" t="str">
        <f aca="true">IF($A57="","",IF($O57=0,"Filled",IF(AND($J57&lt;&gt;"",TODAY()&gt;$J57),"Overdue",IF($L57=0,"No Pipeline","Open"))))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2"/>
      <c r="J58" s="22"/>
      <c r="K58" s="23" t="str">
        <f aca="false">IF($A58="","",COUNTIF(Candidates!$E$2:$E$501,$A58))</f>
        <v/>
      </c>
      <c r="L58" s="23" t="str">
        <f aca="false">IF($A58="","",COUNTIFS(Candidates!$E$2:$E$501,$A58,Candidates!$M$2:$M$501,"Active"))</f>
        <v/>
      </c>
      <c r="M58" s="23" t="str">
        <f aca="false">IF($A58="","",COUNTIFS(Candidates!$E$2:$E$501,$A58,Candidates!$T$2:$T$501,"&lt;&gt;"))</f>
        <v/>
      </c>
      <c r="N58" s="23" t="str">
        <f aca="false">IF($A58="","",COUNTIFS(Candidates!$E$2:$E$501,$A58,Candidates!$K$2:$K$501,"Joined"))</f>
        <v/>
      </c>
      <c r="O58" s="23" t="str">
        <f aca="false">IF($A58="","",MAX($F58-$N58,0))</f>
        <v/>
      </c>
      <c r="P58" s="24" t="str">
        <f aca="false">IF(OR($A58="",N($F58)=0),"",$N58/$F58)</f>
        <v/>
      </c>
      <c r="Q58" s="23" t="str">
        <f aca="true">IF(OR($A58="",$I58=""),"",TODAY()-$I58)</f>
        <v/>
      </c>
      <c r="R58" s="23" t="str">
        <f aca="true">IF(OR($A58="",$J58=""),"",$J58-TODAY())</f>
        <v/>
      </c>
      <c r="S58" s="25" t="str">
        <f aca="true">IF($A58="","",IF($O58=0,"Filled",IF(AND($J58&lt;&gt;"",TODAY()&gt;$J58),"Overdue",IF($L58=0,"No Pipeline","Open"))))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2"/>
      <c r="J59" s="22"/>
      <c r="K59" s="23" t="str">
        <f aca="false">IF($A59="","",COUNTIF(Candidates!$E$2:$E$501,$A59))</f>
        <v/>
      </c>
      <c r="L59" s="23" t="str">
        <f aca="false">IF($A59="","",COUNTIFS(Candidates!$E$2:$E$501,$A59,Candidates!$M$2:$M$501,"Active"))</f>
        <v/>
      </c>
      <c r="M59" s="23" t="str">
        <f aca="false">IF($A59="","",COUNTIFS(Candidates!$E$2:$E$501,$A59,Candidates!$T$2:$T$501,"&lt;&gt;"))</f>
        <v/>
      </c>
      <c r="N59" s="23" t="str">
        <f aca="false">IF($A59="","",COUNTIFS(Candidates!$E$2:$E$501,$A59,Candidates!$K$2:$K$501,"Joined"))</f>
        <v/>
      </c>
      <c r="O59" s="23" t="str">
        <f aca="false">IF($A59="","",MAX($F59-$N59,0))</f>
        <v/>
      </c>
      <c r="P59" s="24" t="str">
        <f aca="false">IF(OR($A59="",N($F59)=0),"",$N59/$F59)</f>
        <v/>
      </c>
      <c r="Q59" s="23" t="str">
        <f aca="true">IF(OR($A59="",$I59=""),"",TODAY()-$I59)</f>
        <v/>
      </c>
      <c r="R59" s="23" t="str">
        <f aca="true">IF(OR($A59="",$J59=""),"",$J59-TODAY())</f>
        <v/>
      </c>
      <c r="S59" s="25" t="str">
        <f aca="true">IF($A59="","",IF($O59=0,"Filled",IF(AND($J59&lt;&gt;"",TODAY()&gt;$J59),"Overdue",IF($L59=0,"No Pipeline","Open"))))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2"/>
      <c r="J60" s="22"/>
      <c r="K60" s="23" t="str">
        <f aca="false">IF($A60="","",COUNTIF(Candidates!$E$2:$E$501,$A60))</f>
        <v/>
      </c>
      <c r="L60" s="23" t="str">
        <f aca="false">IF($A60="","",COUNTIFS(Candidates!$E$2:$E$501,$A60,Candidates!$M$2:$M$501,"Active"))</f>
        <v/>
      </c>
      <c r="M60" s="23" t="str">
        <f aca="false">IF($A60="","",COUNTIFS(Candidates!$E$2:$E$501,$A60,Candidates!$T$2:$T$501,"&lt;&gt;"))</f>
        <v/>
      </c>
      <c r="N60" s="23" t="str">
        <f aca="false">IF($A60="","",COUNTIFS(Candidates!$E$2:$E$501,$A60,Candidates!$K$2:$K$501,"Joined"))</f>
        <v/>
      </c>
      <c r="O60" s="23" t="str">
        <f aca="false">IF($A60="","",MAX($F60-$N60,0))</f>
        <v/>
      </c>
      <c r="P60" s="24" t="str">
        <f aca="false">IF(OR($A60="",N($F60)=0),"",$N60/$F60)</f>
        <v/>
      </c>
      <c r="Q60" s="23" t="str">
        <f aca="true">IF(OR($A60="",$I60=""),"",TODAY()-$I60)</f>
        <v/>
      </c>
      <c r="R60" s="23" t="str">
        <f aca="true">IF(OR($A60="",$J60=""),"",$J60-TODAY())</f>
        <v/>
      </c>
      <c r="S60" s="25" t="str">
        <f aca="true">IF($A60="","",IF($O60=0,"Filled",IF(AND($J60&lt;&gt;"",TODAY()&gt;$J60),"Overdue",IF($L60=0,"No Pipeline","Open"))))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2"/>
      <c r="J61" s="22"/>
      <c r="K61" s="23" t="str">
        <f aca="false">IF($A61="","",COUNTIF(Candidates!$E$2:$E$501,$A61))</f>
        <v/>
      </c>
      <c r="L61" s="23" t="str">
        <f aca="false">IF($A61="","",COUNTIFS(Candidates!$E$2:$E$501,$A61,Candidates!$M$2:$M$501,"Active"))</f>
        <v/>
      </c>
      <c r="M61" s="23" t="str">
        <f aca="false">IF($A61="","",COUNTIFS(Candidates!$E$2:$E$501,$A61,Candidates!$T$2:$T$501,"&lt;&gt;"))</f>
        <v/>
      </c>
      <c r="N61" s="23" t="str">
        <f aca="false">IF($A61="","",COUNTIFS(Candidates!$E$2:$E$501,$A61,Candidates!$K$2:$K$501,"Joined"))</f>
        <v/>
      </c>
      <c r="O61" s="23" t="str">
        <f aca="false">IF($A61="","",MAX($F61-$N61,0))</f>
        <v/>
      </c>
      <c r="P61" s="24" t="str">
        <f aca="false">IF(OR($A61="",N($F61)=0),"",$N61/$F61)</f>
        <v/>
      </c>
      <c r="Q61" s="23" t="str">
        <f aca="true">IF(OR($A61="",$I61=""),"",TODAY()-$I61)</f>
        <v/>
      </c>
      <c r="R61" s="23" t="str">
        <f aca="true">IF(OR($A61="",$J61=""),"",$J61-TODAY())</f>
        <v/>
      </c>
      <c r="S61" s="25" t="str">
        <f aca="true">IF($A61="","",IF($O61=0,"Filled",IF(AND($J61&lt;&gt;"",TODAY()&gt;$J61),"Overdue",IF($L61=0,"No Pipeline","Open"))))</f>
        <v/>
      </c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2"/>
      <c r="J62" s="22"/>
      <c r="K62" s="23" t="str">
        <f aca="false">IF($A62="","",COUNTIF(Candidates!$E$2:$E$501,$A62))</f>
        <v/>
      </c>
      <c r="L62" s="23" t="str">
        <f aca="false">IF($A62="","",COUNTIFS(Candidates!$E$2:$E$501,$A62,Candidates!$M$2:$M$501,"Active"))</f>
        <v/>
      </c>
      <c r="M62" s="23" t="str">
        <f aca="false">IF($A62="","",COUNTIFS(Candidates!$E$2:$E$501,$A62,Candidates!$T$2:$T$501,"&lt;&gt;"))</f>
        <v/>
      </c>
      <c r="N62" s="23" t="str">
        <f aca="false">IF($A62="","",COUNTIFS(Candidates!$E$2:$E$501,$A62,Candidates!$K$2:$K$501,"Joined"))</f>
        <v/>
      </c>
      <c r="O62" s="23" t="str">
        <f aca="false">IF($A62="","",MAX($F62-$N62,0))</f>
        <v/>
      </c>
      <c r="P62" s="24" t="str">
        <f aca="false">IF(OR($A62="",N($F62)=0),"",$N62/$F62)</f>
        <v/>
      </c>
      <c r="Q62" s="23" t="str">
        <f aca="true">IF(OR($A62="",$I62=""),"",TODAY()-$I62)</f>
        <v/>
      </c>
      <c r="R62" s="23" t="str">
        <f aca="true">IF(OR($A62="",$J62=""),"",$J62-TODAY())</f>
        <v/>
      </c>
      <c r="S62" s="25" t="str">
        <f aca="true">IF($A62="","",IF($O62=0,"Filled",IF(AND($J62&lt;&gt;"",TODAY()&gt;$J62),"Overdue",IF($L62=0,"No Pipeline","Open"))))</f>
        <v/>
      </c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2"/>
      <c r="J63" s="22"/>
      <c r="K63" s="23" t="str">
        <f aca="false">IF($A63="","",COUNTIF(Candidates!$E$2:$E$501,$A63))</f>
        <v/>
      </c>
      <c r="L63" s="23" t="str">
        <f aca="false">IF($A63="","",COUNTIFS(Candidates!$E$2:$E$501,$A63,Candidates!$M$2:$M$501,"Active"))</f>
        <v/>
      </c>
      <c r="M63" s="23" t="str">
        <f aca="false">IF($A63="","",COUNTIFS(Candidates!$E$2:$E$501,$A63,Candidates!$T$2:$T$501,"&lt;&gt;"))</f>
        <v/>
      </c>
      <c r="N63" s="23" t="str">
        <f aca="false">IF($A63="","",COUNTIFS(Candidates!$E$2:$E$501,$A63,Candidates!$K$2:$K$501,"Joined"))</f>
        <v/>
      </c>
      <c r="O63" s="23" t="str">
        <f aca="false">IF($A63="","",MAX($F63-$N63,0))</f>
        <v/>
      </c>
      <c r="P63" s="24" t="str">
        <f aca="false">IF(OR($A63="",N($F63)=0),"",$N63/$F63)</f>
        <v/>
      </c>
      <c r="Q63" s="23" t="str">
        <f aca="true">IF(OR($A63="",$I63=""),"",TODAY()-$I63)</f>
        <v/>
      </c>
      <c r="R63" s="23" t="str">
        <f aca="true">IF(OR($A63="",$J63=""),"",$J63-TODAY())</f>
        <v/>
      </c>
      <c r="S63" s="25" t="str">
        <f aca="true">IF($A63="","",IF($O63=0,"Filled",IF(AND($J63&lt;&gt;"",TODAY()&gt;$J63),"Overdue",IF($L63=0,"No Pipeline","Open"))))</f>
        <v/>
      </c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2"/>
      <c r="J64" s="22"/>
      <c r="K64" s="23" t="str">
        <f aca="false">IF($A64="","",COUNTIF(Candidates!$E$2:$E$501,$A64))</f>
        <v/>
      </c>
      <c r="L64" s="23" t="str">
        <f aca="false">IF($A64="","",COUNTIFS(Candidates!$E$2:$E$501,$A64,Candidates!$M$2:$M$501,"Active"))</f>
        <v/>
      </c>
      <c r="M64" s="23" t="str">
        <f aca="false">IF($A64="","",COUNTIFS(Candidates!$E$2:$E$501,$A64,Candidates!$T$2:$T$501,"&lt;&gt;"))</f>
        <v/>
      </c>
      <c r="N64" s="23" t="str">
        <f aca="false">IF($A64="","",COUNTIFS(Candidates!$E$2:$E$501,$A64,Candidates!$K$2:$K$501,"Joined"))</f>
        <v/>
      </c>
      <c r="O64" s="23" t="str">
        <f aca="false">IF($A64="","",MAX($F64-$N64,0))</f>
        <v/>
      </c>
      <c r="P64" s="24" t="str">
        <f aca="false">IF(OR($A64="",N($F64)=0),"",$N64/$F64)</f>
        <v/>
      </c>
      <c r="Q64" s="23" t="str">
        <f aca="true">IF(OR($A64="",$I64=""),"",TODAY()-$I64)</f>
        <v/>
      </c>
      <c r="R64" s="23" t="str">
        <f aca="true">IF(OR($A64="",$J64=""),"",$J64-TODAY())</f>
        <v/>
      </c>
      <c r="S64" s="25" t="str">
        <f aca="true">IF($A64="","",IF($O64=0,"Filled",IF(AND($J64&lt;&gt;"",TODAY()&gt;$J64),"Overdue",IF($L64=0,"No Pipeline","Open"))))</f>
        <v/>
      </c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2"/>
      <c r="J65" s="22"/>
      <c r="K65" s="23" t="str">
        <f aca="false">IF($A65="","",COUNTIF(Candidates!$E$2:$E$501,$A65))</f>
        <v/>
      </c>
      <c r="L65" s="23" t="str">
        <f aca="false">IF($A65="","",COUNTIFS(Candidates!$E$2:$E$501,$A65,Candidates!$M$2:$M$501,"Active"))</f>
        <v/>
      </c>
      <c r="M65" s="23" t="str">
        <f aca="false">IF($A65="","",COUNTIFS(Candidates!$E$2:$E$501,$A65,Candidates!$T$2:$T$501,"&lt;&gt;"))</f>
        <v/>
      </c>
      <c r="N65" s="23" t="str">
        <f aca="false">IF($A65="","",COUNTIFS(Candidates!$E$2:$E$501,$A65,Candidates!$K$2:$K$501,"Joined"))</f>
        <v/>
      </c>
      <c r="O65" s="23" t="str">
        <f aca="false">IF($A65="","",MAX($F65-$N65,0))</f>
        <v/>
      </c>
      <c r="P65" s="24" t="str">
        <f aca="false">IF(OR($A65="",N($F65)=0),"",$N65/$F65)</f>
        <v/>
      </c>
      <c r="Q65" s="23" t="str">
        <f aca="true">IF(OR($A65="",$I65=""),"",TODAY()-$I65)</f>
        <v/>
      </c>
      <c r="R65" s="23" t="str">
        <f aca="true">IF(OR($A65="",$J65=""),"",$J65-TODAY())</f>
        <v/>
      </c>
      <c r="S65" s="25" t="str">
        <f aca="true">IF($A65="","",IF($O65=0,"Filled",IF(AND($J65&lt;&gt;"",TODAY()&gt;$J65),"Overdue",IF($L65=0,"No Pipeline","Open"))))</f>
        <v/>
      </c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2"/>
      <c r="J66" s="22"/>
      <c r="K66" s="23" t="str">
        <f aca="false">IF($A66="","",COUNTIF(Candidates!$E$2:$E$501,$A66))</f>
        <v/>
      </c>
      <c r="L66" s="23" t="str">
        <f aca="false">IF($A66="","",COUNTIFS(Candidates!$E$2:$E$501,$A66,Candidates!$M$2:$M$501,"Active"))</f>
        <v/>
      </c>
      <c r="M66" s="23" t="str">
        <f aca="false">IF($A66="","",COUNTIFS(Candidates!$E$2:$E$501,$A66,Candidates!$T$2:$T$501,"&lt;&gt;"))</f>
        <v/>
      </c>
      <c r="N66" s="23" t="str">
        <f aca="false">IF($A66="","",COUNTIFS(Candidates!$E$2:$E$501,$A66,Candidates!$K$2:$K$501,"Joined"))</f>
        <v/>
      </c>
      <c r="O66" s="23" t="str">
        <f aca="false">IF($A66="","",MAX($F66-$N66,0))</f>
        <v/>
      </c>
      <c r="P66" s="24" t="str">
        <f aca="false">IF(OR($A66="",N($F66)=0),"",$N66/$F66)</f>
        <v/>
      </c>
      <c r="Q66" s="23" t="str">
        <f aca="true">IF(OR($A66="",$I66=""),"",TODAY()-$I66)</f>
        <v/>
      </c>
      <c r="R66" s="23" t="str">
        <f aca="true">IF(OR($A66="",$J66=""),"",$J66-TODAY())</f>
        <v/>
      </c>
      <c r="S66" s="25" t="str">
        <f aca="true">IF($A66="","",IF($O66=0,"Filled",IF(AND($J66&lt;&gt;"",TODAY()&gt;$J66),"Overdue",IF($L66=0,"No Pipeline","Open"))))</f>
        <v/>
      </c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2"/>
      <c r="J67" s="22"/>
      <c r="K67" s="23" t="str">
        <f aca="false">IF($A67="","",COUNTIF(Candidates!$E$2:$E$501,$A67))</f>
        <v/>
      </c>
      <c r="L67" s="23" t="str">
        <f aca="false">IF($A67="","",COUNTIFS(Candidates!$E$2:$E$501,$A67,Candidates!$M$2:$M$501,"Active"))</f>
        <v/>
      </c>
      <c r="M67" s="23" t="str">
        <f aca="false">IF($A67="","",COUNTIFS(Candidates!$E$2:$E$501,$A67,Candidates!$T$2:$T$501,"&lt;&gt;"))</f>
        <v/>
      </c>
      <c r="N67" s="23" t="str">
        <f aca="false">IF($A67="","",COUNTIFS(Candidates!$E$2:$E$501,$A67,Candidates!$K$2:$K$501,"Joined"))</f>
        <v/>
      </c>
      <c r="O67" s="23" t="str">
        <f aca="false">IF($A67="","",MAX($F67-$N67,0))</f>
        <v/>
      </c>
      <c r="P67" s="24" t="str">
        <f aca="false">IF(OR($A67="",N($F67)=0),"",$N67/$F67)</f>
        <v/>
      </c>
      <c r="Q67" s="23" t="str">
        <f aca="true">IF(OR($A67="",$I67=""),"",TODAY()-$I67)</f>
        <v/>
      </c>
      <c r="R67" s="23" t="str">
        <f aca="true">IF(OR($A67="",$J67=""),"",$J67-TODAY())</f>
        <v/>
      </c>
      <c r="S67" s="25" t="str">
        <f aca="true">IF($A67="","",IF($O67=0,"Filled",IF(AND($J67&lt;&gt;"",TODAY()&gt;$J67),"Overdue",IF($L67=0,"No Pipeline","Open"))))</f>
        <v/>
      </c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2"/>
      <c r="J68" s="22"/>
      <c r="K68" s="23" t="str">
        <f aca="false">IF($A68="","",COUNTIF(Candidates!$E$2:$E$501,$A68))</f>
        <v/>
      </c>
      <c r="L68" s="23" t="str">
        <f aca="false">IF($A68="","",COUNTIFS(Candidates!$E$2:$E$501,$A68,Candidates!$M$2:$M$501,"Active"))</f>
        <v/>
      </c>
      <c r="M68" s="23" t="str">
        <f aca="false">IF($A68="","",COUNTIFS(Candidates!$E$2:$E$501,$A68,Candidates!$T$2:$T$501,"&lt;&gt;"))</f>
        <v/>
      </c>
      <c r="N68" s="23" t="str">
        <f aca="false">IF($A68="","",COUNTIFS(Candidates!$E$2:$E$501,$A68,Candidates!$K$2:$K$501,"Joined"))</f>
        <v/>
      </c>
      <c r="O68" s="23" t="str">
        <f aca="false">IF($A68="","",MAX($F68-$N68,0))</f>
        <v/>
      </c>
      <c r="P68" s="24" t="str">
        <f aca="false">IF(OR($A68="",N($F68)=0),"",$N68/$F68)</f>
        <v/>
      </c>
      <c r="Q68" s="23" t="str">
        <f aca="true">IF(OR($A68="",$I68=""),"",TODAY()-$I68)</f>
        <v/>
      </c>
      <c r="R68" s="23" t="str">
        <f aca="true">IF(OR($A68="",$J68=""),"",$J68-TODAY())</f>
        <v/>
      </c>
      <c r="S68" s="25" t="str">
        <f aca="true">IF($A68="","",IF($O68=0,"Filled",IF(AND($J68&lt;&gt;"",TODAY()&gt;$J68),"Overdue",IF($L68=0,"No Pipeline","Open"))))</f>
        <v/>
      </c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2"/>
      <c r="J69" s="22"/>
      <c r="K69" s="23" t="str">
        <f aca="false">IF($A69="","",COUNTIF(Candidates!$E$2:$E$501,$A69))</f>
        <v/>
      </c>
      <c r="L69" s="23" t="str">
        <f aca="false">IF($A69="","",COUNTIFS(Candidates!$E$2:$E$501,$A69,Candidates!$M$2:$M$501,"Active"))</f>
        <v/>
      </c>
      <c r="M69" s="23" t="str">
        <f aca="false">IF($A69="","",COUNTIFS(Candidates!$E$2:$E$501,$A69,Candidates!$T$2:$T$501,"&lt;&gt;"))</f>
        <v/>
      </c>
      <c r="N69" s="23" t="str">
        <f aca="false">IF($A69="","",COUNTIFS(Candidates!$E$2:$E$501,$A69,Candidates!$K$2:$K$501,"Joined"))</f>
        <v/>
      </c>
      <c r="O69" s="23" t="str">
        <f aca="false">IF($A69="","",MAX($F69-$N69,0))</f>
        <v/>
      </c>
      <c r="P69" s="24" t="str">
        <f aca="false">IF(OR($A69="",N($F69)=0),"",$N69/$F69)</f>
        <v/>
      </c>
      <c r="Q69" s="23" t="str">
        <f aca="true">IF(OR($A69="",$I69=""),"",TODAY()-$I69)</f>
        <v/>
      </c>
      <c r="R69" s="23" t="str">
        <f aca="true">IF(OR($A69="",$J69=""),"",$J69-TODAY())</f>
        <v/>
      </c>
      <c r="S69" s="25" t="str">
        <f aca="true">IF($A69="","",IF($O69=0,"Filled",IF(AND($J69&lt;&gt;"",TODAY()&gt;$J69),"Overdue",IF($L69=0,"No Pipeline","Open"))))</f>
        <v/>
      </c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2"/>
      <c r="J70" s="22"/>
      <c r="K70" s="23" t="str">
        <f aca="false">IF($A70="","",COUNTIF(Candidates!$E$2:$E$501,$A70))</f>
        <v/>
      </c>
      <c r="L70" s="23" t="str">
        <f aca="false">IF($A70="","",COUNTIFS(Candidates!$E$2:$E$501,$A70,Candidates!$M$2:$M$501,"Active"))</f>
        <v/>
      </c>
      <c r="M70" s="23" t="str">
        <f aca="false">IF($A70="","",COUNTIFS(Candidates!$E$2:$E$501,$A70,Candidates!$T$2:$T$501,"&lt;&gt;"))</f>
        <v/>
      </c>
      <c r="N70" s="23" t="str">
        <f aca="false">IF($A70="","",COUNTIFS(Candidates!$E$2:$E$501,$A70,Candidates!$K$2:$K$501,"Joined"))</f>
        <v/>
      </c>
      <c r="O70" s="23" t="str">
        <f aca="false">IF($A70="","",MAX($F70-$N70,0))</f>
        <v/>
      </c>
      <c r="P70" s="24" t="str">
        <f aca="false">IF(OR($A70="",N($F70)=0),"",$N70/$F70)</f>
        <v/>
      </c>
      <c r="Q70" s="23" t="str">
        <f aca="true">IF(OR($A70="",$I70=""),"",TODAY()-$I70)</f>
        <v/>
      </c>
      <c r="R70" s="23" t="str">
        <f aca="true">IF(OR($A70="",$J70=""),"",$J70-TODAY())</f>
        <v/>
      </c>
      <c r="S70" s="25" t="str">
        <f aca="true">IF($A70="","",IF($O70=0,"Filled",IF(AND($J70&lt;&gt;"",TODAY()&gt;$J70),"Overdue",IF($L70=0,"No Pipeline","Open"))))</f>
        <v/>
      </c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2"/>
      <c r="J71" s="22"/>
      <c r="K71" s="23" t="str">
        <f aca="false">IF($A71="","",COUNTIF(Candidates!$E$2:$E$501,$A71))</f>
        <v/>
      </c>
      <c r="L71" s="23" t="str">
        <f aca="false">IF($A71="","",COUNTIFS(Candidates!$E$2:$E$501,$A71,Candidates!$M$2:$M$501,"Active"))</f>
        <v/>
      </c>
      <c r="M71" s="23" t="str">
        <f aca="false">IF($A71="","",COUNTIFS(Candidates!$E$2:$E$501,$A71,Candidates!$T$2:$T$501,"&lt;&gt;"))</f>
        <v/>
      </c>
      <c r="N71" s="23" t="str">
        <f aca="false">IF($A71="","",COUNTIFS(Candidates!$E$2:$E$501,$A71,Candidates!$K$2:$K$501,"Joined"))</f>
        <v/>
      </c>
      <c r="O71" s="23" t="str">
        <f aca="false">IF($A71="","",MAX($F71-$N71,0))</f>
        <v/>
      </c>
      <c r="P71" s="24" t="str">
        <f aca="false">IF(OR($A71="",N($F71)=0),"",$N71/$F71)</f>
        <v/>
      </c>
      <c r="Q71" s="23" t="str">
        <f aca="true">IF(OR($A71="",$I71=""),"",TODAY()-$I71)</f>
        <v/>
      </c>
      <c r="R71" s="23" t="str">
        <f aca="true">IF(OR($A71="",$J71=""),"",$J71-TODAY())</f>
        <v/>
      </c>
      <c r="S71" s="25" t="str">
        <f aca="true">IF($A71="","",IF($O71=0,"Filled",IF(AND($J71&lt;&gt;"",TODAY()&gt;$J71),"Overdue",IF($L71=0,"No Pipeline","Open"))))</f>
        <v/>
      </c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2"/>
      <c r="J72" s="22"/>
      <c r="K72" s="23" t="str">
        <f aca="false">IF($A72="","",COUNTIF(Candidates!$E$2:$E$501,$A72))</f>
        <v/>
      </c>
      <c r="L72" s="23" t="str">
        <f aca="false">IF($A72="","",COUNTIFS(Candidates!$E$2:$E$501,$A72,Candidates!$M$2:$M$501,"Active"))</f>
        <v/>
      </c>
      <c r="M72" s="23" t="str">
        <f aca="false">IF($A72="","",COUNTIFS(Candidates!$E$2:$E$501,$A72,Candidates!$T$2:$T$501,"&lt;&gt;"))</f>
        <v/>
      </c>
      <c r="N72" s="23" t="str">
        <f aca="false">IF($A72="","",COUNTIFS(Candidates!$E$2:$E$501,$A72,Candidates!$K$2:$K$501,"Joined"))</f>
        <v/>
      </c>
      <c r="O72" s="23" t="str">
        <f aca="false">IF($A72="","",MAX($F72-$N72,0))</f>
        <v/>
      </c>
      <c r="P72" s="24" t="str">
        <f aca="false">IF(OR($A72="",N($F72)=0),"",$N72/$F72)</f>
        <v/>
      </c>
      <c r="Q72" s="23" t="str">
        <f aca="true">IF(OR($A72="",$I72=""),"",TODAY()-$I72)</f>
        <v/>
      </c>
      <c r="R72" s="23" t="str">
        <f aca="true">IF(OR($A72="",$J72=""),"",$J72-TODAY())</f>
        <v/>
      </c>
      <c r="S72" s="25" t="str">
        <f aca="true">IF($A72="","",IF($O72=0,"Filled",IF(AND($J72&lt;&gt;"",TODAY()&gt;$J72),"Overdue",IF($L72=0,"No Pipeline","Open"))))</f>
        <v/>
      </c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2"/>
      <c r="J73" s="22"/>
      <c r="K73" s="23" t="str">
        <f aca="false">IF($A73="","",COUNTIF(Candidates!$E$2:$E$501,$A73))</f>
        <v/>
      </c>
      <c r="L73" s="23" t="str">
        <f aca="false">IF($A73="","",COUNTIFS(Candidates!$E$2:$E$501,$A73,Candidates!$M$2:$M$501,"Active"))</f>
        <v/>
      </c>
      <c r="M73" s="23" t="str">
        <f aca="false">IF($A73="","",COUNTIFS(Candidates!$E$2:$E$501,$A73,Candidates!$T$2:$T$501,"&lt;&gt;"))</f>
        <v/>
      </c>
      <c r="N73" s="23" t="str">
        <f aca="false">IF($A73="","",COUNTIFS(Candidates!$E$2:$E$501,$A73,Candidates!$K$2:$K$501,"Joined"))</f>
        <v/>
      </c>
      <c r="O73" s="23" t="str">
        <f aca="false">IF($A73="","",MAX($F73-$N73,0))</f>
        <v/>
      </c>
      <c r="P73" s="24" t="str">
        <f aca="false">IF(OR($A73="",N($F73)=0),"",$N73/$F73)</f>
        <v/>
      </c>
      <c r="Q73" s="23" t="str">
        <f aca="true">IF(OR($A73="",$I73=""),"",TODAY()-$I73)</f>
        <v/>
      </c>
      <c r="R73" s="23" t="str">
        <f aca="true">IF(OR($A73="",$J73=""),"",$J73-TODAY())</f>
        <v/>
      </c>
      <c r="S73" s="25" t="str">
        <f aca="true">IF($A73="","",IF($O73=0,"Filled",IF(AND($J73&lt;&gt;"",TODAY()&gt;$J73),"Overdue",IF($L73=0,"No Pipeline","Open"))))</f>
        <v/>
      </c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2"/>
      <c r="J74" s="22"/>
      <c r="K74" s="23" t="str">
        <f aca="false">IF($A74="","",COUNTIF(Candidates!$E$2:$E$501,$A74))</f>
        <v/>
      </c>
      <c r="L74" s="23" t="str">
        <f aca="false">IF($A74="","",COUNTIFS(Candidates!$E$2:$E$501,$A74,Candidates!$M$2:$M$501,"Active"))</f>
        <v/>
      </c>
      <c r="M74" s="23" t="str">
        <f aca="false">IF($A74="","",COUNTIFS(Candidates!$E$2:$E$501,$A74,Candidates!$T$2:$T$501,"&lt;&gt;"))</f>
        <v/>
      </c>
      <c r="N74" s="23" t="str">
        <f aca="false">IF($A74="","",COUNTIFS(Candidates!$E$2:$E$501,$A74,Candidates!$K$2:$K$501,"Joined"))</f>
        <v/>
      </c>
      <c r="O74" s="23" t="str">
        <f aca="false">IF($A74="","",MAX($F74-$N74,0))</f>
        <v/>
      </c>
      <c r="P74" s="24" t="str">
        <f aca="false">IF(OR($A74="",N($F74)=0),"",$N74/$F74)</f>
        <v/>
      </c>
      <c r="Q74" s="23" t="str">
        <f aca="true">IF(OR($A74="",$I74=""),"",TODAY()-$I74)</f>
        <v/>
      </c>
      <c r="R74" s="23" t="str">
        <f aca="true">IF(OR($A74="",$J74=""),"",$J74-TODAY())</f>
        <v/>
      </c>
      <c r="S74" s="25" t="str">
        <f aca="true">IF($A74="","",IF($O74=0,"Filled",IF(AND($J74&lt;&gt;"",TODAY()&gt;$J74),"Overdue",IF($L74=0,"No Pipeline","Open"))))</f>
        <v/>
      </c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2"/>
      <c r="J75" s="22"/>
      <c r="K75" s="23" t="str">
        <f aca="false">IF($A75="","",COUNTIF(Candidates!$E$2:$E$501,$A75))</f>
        <v/>
      </c>
      <c r="L75" s="23" t="str">
        <f aca="false">IF($A75="","",COUNTIFS(Candidates!$E$2:$E$501,$A75,Candidates!$M$2:$M$501,"Active"))</f>
        <v/>
      </c>
      <c r="M75" s="23" t="str">
        <f aca="false">IF($A75="","",COUNTIFS(Candidates!$E$2:$E$501,$A75,Candidates!$T$2:$T$501,"&lt;&gt;"))</f>
        <v/>
      </c>
      <c r="N75" s="23" t="str">
        <f aca="false">IF($A75="","",COUNTIFS(Candidates!$E$2:$E$501,$A75,Candidates!$K$2:$K$501,"Joined"))</f>
        <v/>
      </c>
      <c r="O75" s="23" t="str">
        <f aca="false">IF($A75="","",MAX($F75-$N75,0))</f>
        <v/>
      </c>
      <c r="P75" s="24" t="str">
        <f aca="false">IF(OR($A75="",N($F75)=0),"",$N75/$F75)</f>
        <v/>
      </c>
      <c r="Q75" s="23" t="str">
        <f aca="true">IF(OR($A75="",$I75=""),"",TODAY()-$I75)</f>
        <v/>
      </c>
      <c r="R75" s="23" t="str">
        <f aca="true">IF(OR($A75="",$J75=""),"",$J75-TODAY())</f>
        <v/>
      </c>
      <c r="S75" s="25" t="str">
        <f aca="true">IF($A75="","",IF($O75=0,"Filled",IF(AND($J75&lt;&gt;"",TODAY()&gt;$J75),"Overdue",IF($L75=0,"No Pipeline","Open"))))</f>
        <v/>
      </c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2"/>
      <c r="J76" s="22"/>
      <c r="K76" s="23" t="str">
        <f aca="false">IF($A76="","",COUNTIF(Candidates!$E$2:$E$501,$A76))</f>
        <v/>
      </c>
      <c r="L76" s="23" t="str">
        <f aca="false">IF($A76="","",COUNTIFS(Candidates!$E$2:$E$501,$A76,Candidates!$M$2:$M$501,"Active"))</f>
        <v/>
      </c>
      <c r="M76" s="23" t="str">
        <f aca="false">IF($A76="","",COUNTIFS(Candidates!$E$2:$E$501,$A76,Candidates!$T$2:$T$501,"&lt;&gt;"))</f>
        <v/>
      </c>
      <c r="N76" s="23" t="str">
        <f aca="false">IF($A76="","",COUNTIFS(Candidates!$E$2:$E$501,$A76,Candidates!$K$2:$K$501,"Joined"))</f>
        <v/>
      </c>
      <c r="O76" s="23" t="str">
        <f aca="false">IF($A76="","",MAX($F76-$N76,0))</f>
        <v/>
      </c>
      <c r="P76" s="24" t="str">
        <f aca="false">IF(OR($A76="",N($F76)=0),"",$N76/$F76)</f>
        <v/>
      </c>
      <c r="Q76" s="23" t="str">
        <f aca="true">IF(OR($A76="",$I76=""),"",TODAY()-$I76)</f>
        <v/>
      </c>
      <c r="R76" s="23" t="str">
        <f aca="true">IF(OR($A76="",$J76=""),"",$J76-TODAY())</f>
        <v/>
      </c>
      <c r="S76" s="25" t="str">
        <f aca="true">IF($A76="","",IF($O76=0,"Filled",IF(AND($J76&lt;&gt;"",TODAY()&gt;$J76),"Overdue",IF($L76=0,"No Pipeline","Open"))))</f>
        <v/>
      </c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2"/>
      <c r="J77" s="22"/>
      <c r="K77" s="23" t="str">
        <f aca="false">IF($A77="","",COUNTIF(Candidates!$E$2:$E$501,$A77))</f>
        <v/>
      </c>
      <c r="L77" s="23" t="str">
        <f aca="false">IF($A77="","",COUNTIFS(Candidates!$E$2:$E$501,$A77,Candidates!$M$2:$M$501,"Active"))</f>
        <v/>
      </c>
      <c r="M77" s="23" t="str">
        <f aca="false">IF($A77="","",COUNTIFS(Candidates!$E$2:$E$501,$A77,Candidates!$T$2:$T$501,"&lt;&gt;"))</f>
        <v/>
      </c>
      <c r="N77" s="23" t="str">
        <f aca="false">IF($A77="","",COUNTIFS(Candidates!$E$2:$E$501,$A77,Candidates!$K$2:$K$501,"Joined"))</f>
        <v/>
      </c>
      <c r="O77" s="23" t="str">
        <f aca="false">IF($A77="","",MAX($F77-$N77,0))</f>
        <v/>
      </c>
      <c r="P77" s="24" t="str">
        <f aca="false">IF(OR($A77="",N($F77)=0),"",$N77/$F77)</f>
        <v/>
      </c>
      <c r="Q77" s="23" t="str">
        <f aca="true">IF(OR($A77="",$I77=""),"",TODAY()-$I77)</f>
        <v/>
      </c>
      <c r="R77" s="23" t="str">
        <f aca="true">IF(OR($A77="",$J77=""),"",$J77-TODAY())</f>
        <v/>
      </c>
      <c r="S77" s="25" t="str">
        <f aca="true">IF($A77="","",IF($O77=0,"Filled",IF(AND($J77&lt;&gt;"",TODAY()&gt;$J77),"Overdue",IF($L77=0,"No Pipeline","Open"))))</f>
        <v/>
      </c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2"/>
      <c r="J78" s="22"/>
      <c r="K78" s="23" t="str">
        <f aca="false">IF($A78="","",COUNTIF(Candidates!$E$2:$E$501,$A78))</f>
        <v/>
      </c>
      <c r="L78" s="23" t="str">
        <f aca="false">IF($A78="","",COUNTIFS(Candidates!$E$2:$E$501,$A78,Candidates!$M$2:$M$501,"Active"))</f>
        <v/>
      </c>
      <c r="M78" s="23" t="str">
        <f aca="false">IF($A78="","",COUNTIFS(Candidates!$E$2:$E$501,$A78,Candidates!$T$2:$T$501,"&lt;&gt;"))</f>
        <v/>
      </c>
      <c r="N78" s="23" t="str">
        <f aca="false">IF($A78="","",COUNTIFS(Candidates!$E$2:$E$501,$A78,Candidates!$K$2:$K$501,"Joined"))</f>
        <v/>
      </c>
      <c r="O78" s="23" t="str">
        <f aca="false">IF($A78="","",MAX($F78-$N78,0))</f>
        <v/>
      </c>
      <c r="P78" s="24" t="str">
        <f aca="false">IF(OR($A78="",N($F78)=0),"",$N78/$F78)</f>
        <v/>
      </c>
      <c r="Q78" s="23" t="str">
        <f aca="true">IF(OR($A78="",$I78=""),"",TODAY()-$I78)</f>
        <v/>
      </c>
      <c r="R78" s="23" t="str">
        <f aca="true">IF(OR($A78="",$J78=""),"",$J78-TODAY())</f>
        <v/>
      </c>
      <c r="S78" s="25" t="str">
        <f aca="true">IF($A78="","",IF($O78=0,"Filled",IF(AND($J78&lt;&gt;"",TODAY()&gt;$J78),"Overdue",IF($L78=0,"No Pipeline","Open"))))</f>
        <v/>
      </c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2"/>
      <c r="J79" s="22"/>
      <c r="K79" s="23" t="str">
        <f aca="false">IF($A79="","",COUNTIF(Candidates!$E$2:$E$501,$A79))</f>
        <v/>
      </c>
      <c r="L79" s="23" t="str">
        <f aca="false">IF($A79="","",COUNTIFS(Candidates!$E$2:$E$501,$A79,Candidates!$M$2:$M$501,"Active"))</f>
        <v/>
      </c>
      <c r="M79" s="23" t="str">
        <f aca="false">IF($A79="","",COUNTIFS(Candidates!$E$2:$E$501,$A79,Candidates!$T$2:$T$501,"&lt;&gt;"))</f>
        <v/>
      </c>
      <c r="N79" s="23" t="str">
        <f aca="false">IF($A79="","",COUNTIFS(Candidates!$E$2:$E$501,$A79,Candidates!$K$2:$K$501,"Joined"))</f>
        <v/>
      </c>
      <c r="O79" s="23" t="str">
        <f aca="false">IF($A79="","",MAX($F79-$N79,0))</f>
        <v/>
      </c>
      <c r="P79" s="24" t="str">
        <f aca="false">IF(OR($A79="",N($F79)=0),"",$N79/$F79)</f>
        <v/>
      </c>
      <c r="Q79" s="23" t="str">
        <f aca="true">IF(OR($A79="",$I79=""),"",TODAY()-$I79)</f>
        <v/>
      </c>
      <c r="R79" s="23" t="str">
        <f aca="true">IF(OR($A79="",$J79=""),"",$J79-TODAY())</f>
        <v/>
      </c>
      <c r="S79" s="25" t="str">
        <f aca="true">IF($A79="","",IF($O79=0,"Filled",IF(AND($J79&lt;&gt;"",TODAY()&gt;$J79),"Overdue",IF($L79=0,"No Pipeline","Open"))))</f>
        <v/>
      </c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2"/>
      <c r="J80" s="22"/>
      <c r="K80" s="23" t="str">
        <f aca="false">IF($A80="","",COUNTIF(Candidates!$E$2:$E$501,$A80))</f>
        <v/>
      </c>
      <c r="L80" s="23" t="str">
        <f aca="false">IF($A80="","",COUNTIFS(Candidates!$E$2:$E$501,$A80,Candidates!$M$2:$M$501,"Active"))</f>
        <v/>
      </c>
      <c r="M80" s="23" t="str">
        <f aca="false">IF($A80="","",COUNTIFS(Candidates!$E$2:$E$501,$A80,Candidates!$T$2:$T$501,"&lt;&gt;"))</f>
        <v/>
      </c>
      <c r="N80" s="23" t="str">
        <f aca="false">IF($A80="","",COUNTIFS(Candidates!$E$2:$E$501,$A80,Candidates!$K$2:$K$501,"Joined"))</f>
        <v/>
      </c>
      <c r="O80" s="23" t="str">
        <f aca="false">IF($A80="","",MAX($F80-$N80,0))</f>
        <v/>
      </c>
      <c r="P80" s="24" t="str">
        <f aca="false">IF(OR($A80="",N($F80)=0),"",$N80/$F80)</f>
        <v/>
      </c>
      <c r="Q80" s="23" t="str">
        <f aca="true">IF(OR($A80="",$I80=""),"",TODAY()-$I80)</f>
        <v/>
      </c>
      <c r="R80" s="23" t="str">
        <f aca="true">IF(OR($A80="",$J80=""),"",$J80-TODAY())</f>
        <v/>
      </c>
      <c r="S80" s="25" t="str">
        <f aca="true">IF($A80="","",IF($O80=0,"Filled",IF(AND($J80&lt;&gt;"",TODAY()&gt;$J80),"Overdue",IF($L80=0,"No Pipeline","Open"))))</f>
        <v/>
      </c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2"/>
      <c r="J81" s="22"/>
      <c r="K81" s="23" t="str">
        <f aca="false">IF($A81="","",COUNTIF(Candidates!$E$2:$E$501,$A81))</f>
        <v/>
      </c>
      <c r="L81" s="23" t="str">
        <f aca="false">IF($A81="","",COUNTIFS(Candidates!$E$2:$E$501,$A81,Candidates!$M$2:$M$501,"Active"))</f>
        <v/>
      </c>
      <c r="M81" s="23" t="str">
        <f aca="false">IF($A81="","",COUNTIFS(Candidates!$E$2:$E$501,$A81,Candidates!$T$2:$T$501,"&lt;&gt;"))</f>
        <v/>
      </c>
      <c r="N81" s="23" t="str">
        <f aca="false">IF($A81="","",COUNTIFS(Candidates!$E$2:$E$501,$A81,Candidates!$K$2:$K$501,"Joined"))</f>
        <v/>
      </c>
      <c r="O81" s="23" t="str">
        <f aca="false">IF($A81="","",MAX($F81-$N81,0))</f>
        <v/>
      </c>
      <c r="P81" s="24" t="str">
        <f aca="false">IF(OR($A81="",N($F81)=0),"",$N81/$F81)</f>
        <v/>
      </c>
      <c r="Q81" s="23" t="str">
        <f aca="true">IF(OR($A81="",$I81=""),"",TODAY()-$I81)</f>
        <v/>
      </c>
      <c r="R81" s="23" t="str">
        <f aca="true">IF(OR($A81="",$J81=""),"",$J81-TODAY())</f>
        <v/>
      </c>
      <c r="S81" s="25" t="str">
        <f aca="true">IF($A81="","",IF($O81=0,"Filled",IF(AND($J81&lt;&gt;"",TODAY()&gt;$J81),"Overdue",IF($L81=0,"No Pipeline","Open"))))</f>
        <v/>
      </c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2"/>
      <c r="J82" s="22"/>
      <c r="K82" s="23" t="str">
        <f aca="false">IF($A82="","",COUNTIF(Candidates!$E$2:$E$501,$A82))</f>
        <v/>
      </c>
      <c r="L82" s="23" t="str">
        <f aca="false">IF($A82="","",COUNTIFS(Candidates!$E$2:$E$501,$A82,Candidates!$M$2:$M$501,"Active"))</f>
        <v/>
      </c>
      <c r="M82" s="23" t="str">
        <f aca="false">IF($A82="","",COUNTIFS(Candidates!$E$2:$E$501,$A82,Candidates!$T$2:$T$501,"&lt;&gt;"))</f>
        <v/>
      </c>
      <c r="N82" s="23" t="str">
        <f aca="false">IF($A82="","",COUNTIFS(Candidates!$E$2:$E$501,$A82,Candidates!$K$2:$K$501,"Joined"))</f>
        <v/>
      </c>
      <c r="O82" s="23" t="str">
        <f aca="false">IF($A82="","",MAX($F82-$N82,0))</f>
        <v/>
      </c>
      <c r="P82" s="24" t="str">
        <f aca="false">IF(OR($A82="",N($F82)=0),"",$N82/$F82)</f>
        <v/>
      </c>
      <c r="Q82" s="23" t="str">
        <f aca="true">IF(OR($A82="",$I82=""),"",TODAY()-$I82)</f>
        <v/>
      </c>
      <c r="R82" s="23" t="str">
        <f aca="true">IF(OR($A82="",$J82=""),"",$J82-TODAY())</f>
        <v/>
      </c>
      <c r="S82" s="25" t="str">
        <f aca="true">IF($A82="","",IF($O82=0,"Filled",IF(AND($J82&lt;&gt;"",TODAY()&gt;$J82),"Overdue",IF($L82=0,"No Pipeline","Open"))))</f>
        <v/>
      </c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2"/>
      <c r="J83" s="22"/>
      <c r="K83" s="23" t="str">
        <f aca="false">IF($A83="","",COUNTIF(Candidates!$E$2:$E$501,$A83))</f>
        <v/>
      </c>
      <c r="L83" s="23" t="str">
        <f aca="false">IF($A83="","",COUNTIFS(Candidates!$E$2:$E$501,$A83,Candidates!$M$2:$M$501,"Active"))</f>
        <v/>
      </c>
      <c r="M83" s="23" t="str">
        <f aca="false">IF($A83="","",COUNTIFS(Candidates!$E$2:$E$501,$A83,Candidates!$T$2:$T$501,"&lt;&gt;"))</f>
        <v/>
      </c>
      <c r="N83" s="23" t="str">
        <f aca="false">IF($A83="","",COUNTIFS(Candidates!$E$2:$E$501,$A83,Candidates!$K$2:$K$501,"Joined"))</f>
        <v/>
      </c>
      <c r="O83" s="23" t="str">
        <f aca="false">IF($A83="","",MAX($F83-$N83,0))</f>
        <v/>
      </c>
      <c r="P83" s="24" t="str">
        <f aca="false">IF(OR($A83="",N($F83)=0),"",$N83/$F83)</f>
        <v/>
      </c>
      <c r="Q83" s="23" t="str">
        <f aca="true">IF(OR($A83="",$I83=""),"",TODAY()-$I83)</f>
        <v/>
      </c>
      <c r="R83" s="23" t="str">
        <f aca="true">IF(OR($A83="",$J83=""),"",$J83-TODAY())</f>
        <v/>
      </c>
      <c r="S83" s="25" t="str">
        <f aca="true">IF($A83="","",IF($O83=0,"Filled",IF(AND($J83&lt;&gt;"",TODAY()&gt;$J83),"Overdue",IF($L83=0,"No Pipeline","Open"))))</f>
        <v/>
      </c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2"/>
      <c r="J84" s="22"/>
      <c r="K84" s="23" t="str">
        <f aca="false">IF($A84="","",COUNTIF(Candidates!$E$2:$E$501,$A84))</f>
        <v/>
      </c>
      <c r="L84" s="23" t="str">
        <f aca="false">IF($A84="","",COUNTIFS(Candidates!$E$2:$E$501,$A84,Candidates!$M$2:$M$501,"Active"))</f>
        <v/>
      </c>
      <c r="M84" s="23" t="str">
        <f aca="false">IF($A84="","",COUNTIFS(Candidates!$E$2:$E$501,$A84,Candidates!$T$2:$T$501,"&lt;&gt;"))</f>
        <v/>
      </c>
      <c r="N84" s="23" t="str">
        <f aca="false">IF($A84="","",COUNTIFS(Candidates!$E$2:$E$501,$A84,Candidates!$K$2:$K$501,"Joined"))</f>
        <v/>
      </c>
      <c r="O84" s="23" t="str">
        <f aca="false">IF($A84="","",MAX($F84-$N84,0))</f>
        <v/>
      </c>
      <c r="P84" s="24" t="str">
        <f aca="false">IF(OR($A84="",N($F84)=0),"",$N84/$F84)</f>
        <v/>
      </c>
      <c r="Q84" s="23" t="str">
        <f aca="true">IF(OR($A84="",$I84=""),"",TODAY()-$I84)</f>
        <v/>
      </c>
      <c r="R84" s="23" t="str">
        <f aca="true">IF(OR($A84="",$J84=""),"",$J84-TODAY())</f>
        <v/>
      </c>
      <c r="S84" s="25" t="str">
        <f aca="true">IF($A84="","",IF($O84=0,"Filled",IF(AND($J84&lt;&gt;"",TODAY()&gt;$J84),"Overdue",IF($L84=0,"No Pipeline","Open"))))</f>
        <v/>
      </c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2"/>
      <c r="J85" s="22"/>
      <c r="K85" s="23" t="str">
        <f aca="false">IF($A85="","",COUNTIF(Candidates!$E$2:$E$501,$A85))</f>
        <v/>
      </c>
      <c r="L85" s="23" t="str">
        <f aca="false">IF($A85="","",COUNTIFS(Candidates!$E$2:$E$501,$A85,Candidates!$M$2:$M$501,"Active"))</f>
        <v/>
      </c>
      <c r="M85" s="23" t="str">
        <f aca="false">IF($A85="","",COUNTIFS(Candidates!$E$2:$E$501,$A85,Candidates!$T$2:$T$501,"&lt;&gt;"))</f>
        <v/>
      </c>
      <c r="N85" s="23" t="str">
        <f aca="false">IF($A85="","",COUNTIFS(Candidates!$E$2:$E$501,$A85,Candidates!$K$2:$K$501,"Joined"))</f>
        <v/>
      </c>
      <c r="O85" s="23" t="str">
        <f aca="false">IF($A85="","",MAX($F85-$N85,0))</f>
        <v/>
      </c>
      <c r="P85" s="24" t="str">
        <f aca="false">IF(OR($A85="",N($F85)=0),"",$N85/$F85)</f>
        <v/>
      </c>
      <c r="Q85" s="23" t="str">
        <f aca="true">IF(OR($A85="",$I85=""),"",TODAY()-$I85)</f>
        <v/>
      </c>
      <c r="R85" s="23" t="str">
        <f aca="true">IF(OR($A85="",$J85=""),"",$J85-TODAY())</f>
        <v/>
      </c>
      <c r="S85" s="25" t="str">
        <f aca="true">IF($A85="","",IF($O85=0,"Filled",IF(AND($J85&lt;&gt;"",TODAY()&gt;$J85),"Overdue",IF($L85=0,"No Pipeline","Open"))))</f>
        <v/>
      </c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2"/>
      <c r="J86" s="22"/>
      <c r="K86" s="23" t="str">
        <f aca="false">IF($A86="","",COUNTIF(Candidates!$E$2:$E$501,$A86))</f>
        <v/>
      </c>
      <c r="L86" s="23" t="str">
        <f aca="false">IF($A86="","",COUNTIFS(Candidates!$E$2:$E$501,$A86,Candidates!$M$2:$M$501,"Active"))</f>
        <v/>
      </c>
      <c r="M86" s="23" t="str">
        <f aca="false">IF($A86="","",COUNTIFS(Candidates!$E$2:$E$501,$A86,Candidates!$T$2:$T$501,"&lt;&gt;"))</f>
        <v/>
      </c>
      <c r="N86" s="23" t="str">
        <f aca="false">IF($A86="","",COUNTIFS(Candidates!$E$2:$E$501,$A86,Candidates!$K$2:$K$501,"Joined"))</f>
        <v/>
      </c>
      <c r="O86" s="23" t="str">
        <f aca="false">IF($A86="","",MAX($F86-$N86,0))</f>
        <v/>
      </c>
      <c r="P86" s="24" t="str">
        <f aca="false">IF(OR($A86="",N($F86)=0),"",$N86/$F86)</f>
        <v/>
      </c>
      <c r="Q86" s="23" t="str">
        <f aca="true">IF(OR($A86="",$I86=""),"",TODAY()-$I86)</f>
        <v/>
      </c>
      <c r="R86" s="23" t="str">
        <f aca="true">IF(OR($A86="",$J86=""),"",$J86-TODAY())</f>
        <v/>
      </c>
      <c r="S86" s="25" t="str">
        <f aca="true">IF($A86="","",IF($O86=0,"Filled",IF(AND($J86&lt;&gt;"",TODAY()&gt;$J86),"Overdue",IF($L86=0,"No Pipeline","Open"))))</f>
        <v/>
      </c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2"/>
      <c r="J87" s="22"/>
      <c r="K87" s="23" t="str">
        <f aca="false">IF($A87="","",COUNTIF(Candidates!$E$2:$E$501,$A87))</f>
        <v/>
      </c>
      <c r="L87" s="23" t="str">
        <f aca="false">IF($A87="","",COUNTIFS(Candidates!$E$2:$E$501,$A87,Candidates!$M$2:$M$501,"Active"))</f>
        <v/>
      </c>
      <c r="M87" s="23" t="str">
        <f aca="false">IF($A87="","",COUNTIFS(Candidates!$E$2:$E$501,$A87,Candidates!$T$2:$T$501,"&lt;&gt;"))</f>
        <v/>
      </c>
      <c r="N87" s="23" t="str">
        <f aca="false">IF($A87="","",COUNTIFS(Candidates!$E$2:$E$501,$A87,Candidates!$K$2:$K$501,"Joined"))</f>
        <v/>
      </c>
      <c r="O87" s="23" t="str">
        <f aca="false">IF($A87="","",MAX($F87-$N87,0))</f>
        <v/>
      </c>
      <c r="P87" s="24" t="str">
        <f aca="false">IF(OR($A87="",N($F87)=0),"",$N87/$F87)</f>
        <v/>
      </c>
      <c r="Q87" s="23" t="str">
        <f aca="true">IF(OR($A87="",$I87=""),"",TODAY()-$I87)</f>
        <v/>
      </c>
      <c r="R87" s="23" t="str">
        <f aca="true">IF(OR($A87="",$J87=""),"",$J87-TODAY())</f>
        <v/>
      </c>
      <c r="S87" s="25" t="str">
        <f aca="true">IF($A87="","",IF($O87=0,"Filled",IF(AND($J87&lt;&gt;"",TODAY()&gt;$J87),"Overdue",IF($L87=0,"No Pipeline","Open"))))</f>
        <v/>
      </c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2"/>
      <c r="J88" s="22"/>
      <c r="K88" s="23" t="str">
        <f aca="false">IF($A88="","",COUNTIF(Candidates!$E$2:$E$501,$A88))</f>
        <v/>
      </c>
      <c r="L88" s="23" t="str">
        <f aca="false">IF($A88="","",COUNTIFS(Candidates!$E$2:$E$501,$A88,Candidates!$M$2:$M$501,"Active"))</f>
        <v/>
      </c>
      <c r="M88" s="23" t="str">
        <f aca="false">IF($A88="","",COUNTIFS(Candidates!$E$2:$E$501,$A88,Candidates!$T$2:$T$501,"&lt;&gt;"))</f>
        <v/>
      </c>
      <c r="N88" s="23" t="str">
        <f aca="false">IF($A88="","",COUNTIFS(Candidates!$E$2:$E$501,$A88,Candidates!$K$2:$K$501,"Joined"))</f>
        <v/>
      </c>
      <c r="O88" s="23" t="str">
        <f aca="false">IF($A88="","",MAX($F88-$N88,0))</f>
        <v/>
      </c>
      <c r="P88" s="24" t="str">
        <f aca="false">IF(OR($A88="",N($F88)=0),"",$N88/$F88)</f>
        <v/>
      </c>
      <c r="Q88" s="23" t="str">
        <f aca="true">IF(OR($A88="",$I88=""),"",TODAY()-$I88)</f>
        <v/>
      </c>
      <c r="R88" s="23" t="str">
        <f aca="true">IF(OR($A88="",$J88=""),"",$J88-TODAY())</f>
        <v/>
      </c>
      <c r="S88" s="25" t="str">
        <f aca="true">IF($A88="","",IF($O88=0,"Filled",IF(AND($J88&lt;&gt;"",TODAY()&gt;$J88),"Overdue",IF($L88=0,"No Pipeline","Open"))))</f>
        <v/>
      </c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2"/>
      <c r="J89" s="22"/>
      <c r="K89" s="23" t="str">
        <f aca="false">IF($A89="","",COUNTIF(Candidates!$E$2:$E$501,$A89))</f>
        <v/>
      </c>
      <c r="L89" s="23" t="str">
        <f aca="false">IF($A89="","",COUNTIFS(Candidates!$E$2:$E$501,$A89,Candidates!$M$2:$M$501,"Active"))</f>
        <v/>
      </c>
      <c r="M89" s="23" t="str">
        <f aca="false">IF($A89="","",COUNTIFS(Candidates!$E$2:$E$501,$A89,Candidates!$T$2:$T$501,"&lt;&gt;"))</f>
        <v/>
      </c>
      <c r="N89" s="23" t="str">
        <f aca="false">IF($A89="","",COUNTIFS(Candidates!$E$2:$E$501,$A89,Candidates!$K$2:$K$501,"Joined"))</f>
        <v/>
      </c>
      <c r="O89" s="23" t="str">
        <f aca="false">IF($A89="","",MAX($F89-$N89,0))</f>
        <v/>
      </c>
      <c r="P89" s="24" t="str">
        <f aca="false">IF(OR($A89="",N($F89)=0),"",$N89/$F89)</f>
        <v/>
      </c>
      <c r="Q89" s="23" t="str">
        <f aca="true">IF(OR($A89="",$I89=""),"",TODAY()-$I89)</f>
        <v/>
      </c>
      <c r="R89" s="23" t="str">
        <f aca="true">IF(OR($A89="",$J89=""),"",$J89-TODAY())</f>
        <v/>
      </c>
      <c r="S89" s="25" t="str">
        <f aca="true">IF($A89="","",IF($O89=0,"Filled",IF(AND($J89&lt;&gt;"",TODAY()&gt;$J89),"Overdue",IF($L89=0,"No Pipeline","Open"))))</f>
        <v/>
      </c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2"/>
      <c r="J90" s="22"/>
      <c r="K90" s="23" t="str">
        <f aca="false">IF($A90="","",COUNTIF(Candidates!$E$2:$E$501,$A90))</f>
        <v/>
      </c>
      <c r="L90" s="23" t="str">
        <f aca="false">IF($A90="","",COUNTIFS(Candidates!$E$2:$E$501,$A90,Candidates!$M$2:$M$501,"Active"))</f>
        <v/>
      </c>
      <c r="M90" s="23" t="str">
        <f aca="false">IF($A90="","",COUNTIFS(Candidates!$E$2:$E$501,$A90,Candidates!$T$2:$T$501,"&lt;&gt;"))</f>
        <v/>
      </c>
      <c r="N90" s="23" t="str">
        <f aca="false">IF($A90="","",COUNTIFS(Candidates!$E$2:$E$501,$A90,Candidates!$K$2:$K$501,"Joined"))</f>
        <v/>
      </c>
      <c r="O90" s="23" t="str">
        <f aca="false">IF($A90="","",MAX($F90-$N90,0))</f>
        <v/>
      </c>
      <c r="P90" s="24" t="str">
        <f aca="false">IF(OR($A90="",N($F90)=0),"",$N90/$F90)</f>
        <v/>
      </c>
      <c r="Q90" s="23" t="str">
        <f aca="true">IF(OR($A90="",$I90=""),"",TODAY()-$I90)</f>
        <v/>
      </c>
      <c r="R90" s="23" t="str">
        <f aca="true">IF(OR($A90="",$J90=""),"",$J90-TODAY())</f>
        <v/>
      </c>
      <c r="S90" s="25" t="str">
        <f aca="true">IF($A90="","",IF($O90=0,"Filled",IF(AND($J90&lt;&gt;"",TODAY()&gt;$J90),"Overdue",IF($L90=0,"No Pipeline","Open"))))</f>
        <v/>
      </c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2"/>
      <c r="J91" s="22"/>
      <c r="K91" s="23" t="str">
        <f aca="false">IF($A91="","",COUNTIF(Candidates!$E$2:$E$501,$A91))</f>
        <v/>
      </c>
      <c r="L91" s="23" t="str">
        <f aca="false">IF($A91="","",COUNTIFS(Candidates!$E$2:$E$501,$A91,Candidates!$M$2:$M$501,"Active"))</f>
        <v/>
      </c>
      <c r="M91" s="23" t="str">
        <f aca="false">IF($A91="","",COUNTIFS(Candidates!$E$2:$E$501,$A91,Candidates!$T$2:$T$501,"&lt;&gt;"))</f>
        <v/>
      </c>
      <c r="N91" s="23" t="str">
        <f aca="false">IF($A91="","",COUNTIFS(Candidates!$E$2:$E$501,$A91,Candidates!$K$2:$K$501,"Joined"))</f>
        <v/>
      </c>
      <c r="O91" s="23" t="str">
        <f aca="false">IF($A91="","",MAX($F91-$N91,0))</f>
        <v/>
      </c>
      <c r="P91" s="24" t="str">
        <f aca="false">IF(OR($A91="",N($F91)=0),"",$N91/$F91)</f>
        <v/>
      </c>
      <c r="Q91" s="23" t="str">
        <f aca="true">IF(OR($A91="",$I91=""),"",TODAY()-$I91)</f>
        <v/>
      </c>
      <c r="R91" s="23" t="str">
        <f aca="true">IF(OR($A91="",$J91=""),"",$J91-TODAY())</f>
        <v/>
      </c>
      <c r="S91" s="25" t="str">
        <f aca="true">IF($A91="","",IF($O91=0,"Filled",IF(AND($J91&lt;&gt;"",TODAY()&gt;$J91),"Overdue",IF($L91=0,"No Pipeline","Open"))))</f>
        <v/>
      </c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2"/>
      <c r="J92" s="22"/>
      <c r="K92" s="23" t="str">
        <f aca="false">IF($A92="","",COUNTIF(Candidates!$E$2:$E$501,$A92))</f>
        <v/>
      </c>
      <c r="L92" s="23" t="str">
        <f aca="false">IF($A92="","",COUNTIFS(Candidates!$E$2:$E$501,$A92,Candidates!$M$2:$M$501,"Active"))</f>
        <v/>
      </c>
      <c r="M92" s="23" t="str">
        <f aca="false">IF($A92="","",COUNTIFS(Candidates!$E$2:$E$501,$A92,Candidates!$T$2:$T$501,"&lt;&gt;"))</f>
        <v/>
      </c>
      <c r="N92" s="23" t="str">
        <f aca="false">IF($A92="","",COUNTIFS(Candidates!$E$2:$E$501,$A92,Candidates!$K$2:$K$501,"Joined"))</f>
        <v/>
      </c>
      <c r="O92" s="23" t="str">
        <f aca="false">IF($A92="","",MAX($F92-$N92,0))</f>
        <v/>
      </c>
      <c r="P92" s="24" t="str">
        <f aca="false">IF(OR($A92="",N($F92)=0),"",$N92/$F92)</f>
        <v/>
      </c>
      <c r="Q92" s="23" t="str">
        <f aca="true">IF(OR($A92="",$I92=""),"",TODAY()-$I92)</f>
        <v/>
      </c>
      <c r="R92" s="23" t="str">
        <f aca="true">IF(OR($A92="",$J92=""),"",$J92-TODAY())</f>
        <v/>
      </c>
      <c r="S92" s="25" t="str">
        <f aca="true">IF($A92="","",IF($O92=0,"Filled",IF(AND($J92&lt;&gt;"",TODAY()&gt;$J92),"Overdue",IF($L92=0,"No Pipeline","Open"))))</f>
        <v/>
      </c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2"/>
      <c r="J93" s="22"/>
      <c r="K93" s="23" t="str">
        <f aca="false">IF($A93="","",COUNTIF(Candidates!$E$2:$E$501,$A93))</f>
        <v/>
      </c>
      <c r="L93" s="23" t="str">
        <f aca="false">IF($A93="","",COUNTIFS(Candidates!$E$2:$E$501,$A93,Candidates!$M$2:$M$501,"Active"))</f>
        <v/>
      </c>
      <c r="M93" s="23" t="str">
        <f aca="false">IF($A93="","",COUNTIFS(Candidates!$E$2:$E$501,$A93,Candidates!$T$2:$T$501,"&lt;&gt;"))</f>
        <v/>
      </c>
      <c r="N93" s="23" t="str">
        <f aca="false">IF($A93="","",COUNTIFS(Candidates!$E$2:$E$501,$A93,Candidates!$K$2:$K$501,"Joined"))</f>
        <v/>
      </c>
      <c r="O93" s="23" t="str">
        <f aca="false">IF($A93="","",MAX($F93-$N93,0))</f>
        <v/>
      </c>
      <c r="P93" s="24" t="str">
        <f aca="false">IF(OR($A93="",N($F93)=0),"",$N93/$F93)</f>
        <v/>
      </c>
      <c r="Q93" s="23" t="str">
        <f aca="true">IF(OR($A93="",$I93=""),"",TODAY()-$I93)</f>
        <v/>
      </c>
      <c r="R93" s="23" t="str">
        <f aca="true">IF(OR($A93="",$J93=""),"",$J93-TODAY())</f>
        <v/>
      </c>
      <c r="S93" s="25" t="str">
        <f aca="true">IF($A93="","",IF($O93=0,"Filled",IF(AND($J93&lt;&gt;"",TODAY()&gt;$J93),"Overdue",IF($L93=0,"No Pipeline","Open"))))</f>
        <v/>
      </c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2"/>
      <c r="J94" s="22"/>
      <c r="K94" s="23" t="str">
        <f aca="false">IF($A94="","",COUNTIF(Candidates!$E$2:$E$501,$A94))</f>
        <v/>
      </c>
      <c r="L94" s="23" t="str">
        <f aca="false">IF($A94="","",COUNTIFS(Candidates!$E$2:$E$501,$A94,Candidates!$M$2:$M$501,"Active"))</f>
        <v/>
      </c>
      <c r="M94" s="23" t="str">
        <f aca="false">IF($A94="","",COUNTIFS(Candidates!$E$2:$E$501,$A94,Candidates!$T$2:$T$501,"&lt;&gt;"))</f>
        <v/>
      </c>
      <c r="N94" s="23" t="str">
        <f aca="false">IF($A94="","",COUNTIFS(Candidates!$E$2:$E$501,$A94,Candidates!$K$2:$K$501,"Joined"))</f>
        <v/>
      </c>
      <c r="O94" s="23" t="str">
        <f aca="false">IF($A94="","",MAX($F94-$N94,0))</f>
        <v/>
      </c>
      <c r="P94" s="24" t="str">
        <f aca="false">IF(OR($A94="",N($F94)=0),"",$N94/$F94)</f>
        <v/>
      </c>
      <c r="Q94" s="23" t="str">
        <f aca="true">IF(OR($A94="",$I94=""),"",TODAY()-$I94)</f>
        <v/>
      </c>
      <c r="R94" s="23" t="str">
        <f aca="true">IF(OR($A94="",$J94=""),"",$J94-TODAY())</f>
        <v/>
      </c>
      <c r="S94" s="25" t="str">
        <f aca="true">IF($A94="","",IF($O94=0,"Filled",IF(AND($J94&lt;&gt;"",TODAY()&gt;$J94),"Overdue",IF($L94=0,"No Pipeline","Open"))))</f>
        <v/>
      </c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2"/>
      <c r="J95" s="22"/>
      <c r="K95" s="23" t="str">
        <f aca="false">IF($A95="","",COUNTIF(Candidates!$E$2:$E$501,$A95))</f>
        <v/>
      </c>
      <c r="L95" s="23" t="str">
        <f aca="false">IF($A95="","",COUNTIFS(Candidates!$E$2:$E$501,$A95,Candidates!$M$2:$M$501,"Active"))</f>
        <v/>
      </c>
      <c r="M95" s="23" t="str">
        <f aca="false">IF($A95="","",COUNTIFS(Candidates!$E$2:$E$501,$A95,Candidates!$T$2:$T$501,"&lt;&gt;"))</f>
        <v/>
      </c>
      <c r="N95" s="23" t="str">
        <f aca="false">IF($A95="","",COUNTIFS(Candidates!$E$2:$E$501,$A95,Candidates!$K$2:$K$501,"Joined"))</f>
        <v/>
      </c>
      <c r="O95" s="23" t="str">
        <f aca="false">IF($A95="","",MAX($F95-$N95,0))</f>
        <v/>
      </c>
      <c r="P95" s="24" t="str">
        <f aca="false">IF(OR($A95="",N($F95)=0),"",$N95/$F95)</f>
        <v/>
      </c>
      <c r="Q95" s="23" t="str">
        <f aca="true">IF(OR($A95="",$I95=""),"",TODAY()-$I95)</f>
        <v/>
      </c>
      <c r="R95" s="23" t="str">
        <f aca="true">IF(OR($A95="",$J95=""),"",$J95-TODAY())</f>
        <v/>
      </c>
      <c r="S95" s="25" t="str">
        <f aca="true">IF($A95="","",IF($O95=0,"Filled",IF(AND($J95&lt;&gt;"",TODAY()&gt;$J95),"Overdue",IF($L95=0,"No Pipeline","Open"))))</f>
        <v/>
      </c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2"/>
      <c r="J96" s="22"/>
      <c r="K96" s="23" t="str">
        <f aca="false">IF($A96="","",COUNTIF(Candidates!$E$2:$E$501,$A96))</f>
        <v/>
      </c>
      <c r="L96" s="23" t="str">
        <f aca="false">IF($A96="","",COUNTIFS(Candidates!$E$2:$E$501,$A96,Candidates!$M$2:$M$501,"Active"))</f>
        <v/>
      </c>
      <c r="M96" s="23" t="str">
        <f aca="false">IF($A96="","",COUNTIFS(Candidates!$E$2:$E$501,$A96,Candidates!$T$2:$T$501,"&lt;&gt;"))</f>
        <v/>
      </c>
      <c r="N96" s="23" t="str">
        <f aca="false">IF($A96="","",COUNTIFS(Candidates!$E$2:$E$501,$A96,Candidates!$K$2:$K$501,"Joined"))</f>
        <v/>
      </c>
      <c r="O96" s="23" t="str">
        <f aca="false">IF($A96="","",MAX($F96-$N96,0))</f>
        <v/>
      </c>
      <c r="P96" s="24" t="str">
        <f aca="false">IF(OR($A96="",N($F96)=0),"",$N96/$F96)</f>
        <v/>
      </c>
      <c r="Q96" s="23" t="str">
        <f aca="true">IF(OR($A96="",$I96=""),"",TODAY()-$I96)</f>
        <v/>
      </c>
      <c r="R96" s="23" t="str">
        <f aca="true">IF(OR($A96="",$J96=""),"",$J96-TODAY())</f>
        <v/>
      </c>
      <c r="S96" s="25" t="str">
        <f aca="true">IF($A96="","",IF($O96=0,"Filled",IF(AND($J96&lt;&gt;"",TODAY()&gt;$J96),"Overdue",IF($L96=0,"No Pipeline","Open"))))</f>
        <v/>
      </c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2"/>
      <c r="J97" s="22"/>
      <c r="K97" s="23" t="str">
        <f aca="false">IF($A97="","",COUNTIF(Candidates!$E$2:$E$501,$A97))</f>
        <v/>
      </c>
      <c r="L97" s="23" t="str">
        <f aca="false">IF($A97="","",COUNTIFS(Candidates!$E$2:$E$501,$A97,Candidates!$M$2:$M$501,"Active"))</f>
        <v/>
      </c>
      <c r="M97" s="23" t="str">
        <f aca="false">IF($A97="","",COUNTIFS(Candidates!$E$2:$E$501,$A97,Candidates!$T$2:$T$501,"&lt;&gt;"))</f>
        <v/>
      </c>
      <c r="N97" s="23" t="str">
        <f aca="false">IF($A97="","",COUNTIFS(Candidates!$E$2:$E$501,$A97,Candidates!$K$2:$K$501,"Joined"))</f>
        <v/>
      </c>
      <c r="O97" s="23" t="str">
        <f aca="false">IF($A97="","",MAX($F97-$N97,0))</f>
        <v/>
      </c>
      <c r="P97" s="24" t="str">
        <f aca="false">IF(OR($A97="",N($F97)=0),"",$N97/$F97)</f>
        <v/>
      </c>
      <c r="Q97" s="23" t="str">
        <f aca="true">IF(OR($A97="",$I97=""),"",TODAY()-$I97)</f>
        <v/>
      </c>
      <c r="R97" s="23" t="str">
        <f aca="true">IF(OR($A97="",$J97=""),"",$J97-TODAY())</f>
        <v/>
      </c>
      <c r="S97" s="25" t="str">
        <f aca="true">IF($A97="","",IF($O97=0,"Filled",IF(AND($J97&lt;&gt;"",TODAY()&gt;$J97),"Overdue",IF($L97=0,"No Pipeline","Open"))))</f>
        <v/>
      </c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2"/>
      <c r="J98" s="22"/>
      <c r="K98" s="23" t="str">
        <f aca="false">IF($A98="","",COUNTIF(Candidates!$E$2:$E$501,$A98))</f>
        <v/>
      </c>
      <c r="L98" s="23" t="str">
        <f aca="false">IF($A98="","",COUNTIFS(Candidates!$E$2:$E$501,$A98,Candidates!$M$2:$M$501,"Active"))</f>
        <v/>
      </c>
      <c r="M98" s="23" t="str">
        <f aca="false">IF($A98="","",COUNTIFS(Candidates!$E$2:$E$501,$A98,Candidates!$T$2:$T$501,"&lt;&gt;"))</f>
        <v/>
      </c>
      <c r="N98" s="23" t="str">
        <f aca="false">IF($A98="","",COUNTIFS(Candidates!$E$2:$E$501,$A98,Candidates!$K$2:$K$501,"Joined"))</f>
        <v/>
      </c>
      <c r="O98" s="23" t="str">
        <f aca="false">IF($A98="","",MAX($F98-$N98,0))</f>
        <v/>
      </c>
      <c r="P98" s="24" t="str">
        <f aca="false">IF(OR($A98="",N($F98)=0),"",$N98/$F98)</f>
        <v/>
      </c>
      <c r="Q98" s="23" t="str">
        <f aca="true">IF(OR($A98="",$I98=""),"",TODAY()-$I98)</f>
        <v/>
      </c>
      <c r="R98" s="23" t="str">
        <f aca="true">IF(OR($A98="",$J98=""),"",$J98-TODAY())</f>
        <v/>
      </c>
      <c r="S98" s="25" t="str">
        <f aca="true">IF($A98="","",IF($O98=0,"Filled",IF(AND($J98&lt;&gt;"",TODAY()&gt;$J98),"Overdue",IF($L98=0,"No Pipeline","Open"))))</f>
        <v/>
      </c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2"/>
      <c r="J99" s="22"/>
      <c r="K99" s="23" t="str">
        <f aca="false">IF($A99="","",COUNTIF(Candidates!$E$2:$E$501,$A99))</f>
        <v/>
      </c>
      <c r="L99" s="23" t="str">
        <f aca="false">IF($A99="","",COUNTIFS(Candidates!$E$2:$E$501,$A99,Candidates!$M$2:$M$501,"Active"))</f>
        <v/>
      </c>
      <c r="M99" s="23" t="str">
        <f aca="false">IF($A99="","",COUNTIFS(Candidates!$E$2:$E$501,$A99,Candidates!$T$2:$T$501,"&lt;&gt;"))</f>
        <v/>
      </c>
      <c r="N99" s="23" t="str">
        <f aca="false">IF($A99="","",COUNTIFS(Candidates!$E$2:$E$501,$A99,Candidates!$K$2:$K$501,"Joined"))</f>
        <v/>
      </c>
      <c r="O99" s="23" t="str">
        <f aca="false">IF($A99="","",MAX($F99-$N99,0))</f>
        <v/>
      </c>
      <c r="P99" s="24" t="str">
        <f aca="false">IF(OR($A99="",N($F99)=0),"",$N99/$F99)</f>
        <v/>
      </c>
      <c r="Q99" s="23" t="str">
        <f aca="true">IF(OR($A99="",$I99=""),"",TODAY()-$I99)</f>
        <v/>
      </c>
      <c r="R99" s="23" t="str">
        <f aca="true">IF(OR($A99="",$J99=""),"",$J99-TODAY())</f>
        <v/>
      </c>
      <c r="S99" s="25" t="str">
        <f aca="true">IF($A99="","",IF($O99=0,"Filled",IF(AND($J99&lt;&gt;"",TODAY()&gt;$J99),"Overdue",IF($L99=0,"No Pipeline","Open"))))</f>
        <v/>
      </c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2"/>
      <c r="J100" s="22"/>
      <c r="K100" s="23" t="str">
        <f aca="false">IF($A100="","",COUNTIF(Candidates!$E$2:$E$501,$A100))</f>
        <v/>
      </c>
      <c r="L100" s="23" t="str">
        <f aca="false">IF($A100="","",COUNTIFS(Candidates!$E$2:$E$501,$A100,Candidates!$M$2:$M$501,"Active"))</f>
        <v/>
      </c>
      <c r="M100" s="23" t="str">
        <f aca="false">IF($A100="","",COUNTIFS(Candidates!$E$2:$E$501,$A100,Candidates!$T$2:$T$501,"&lt;&gt;"))</f>
        <v/>
      </c>
      <c r="N100" s="23" t="str">
        <f aca="false">IF($A100="","",COUNTIFS(Candidates!$E$2:$E$501,$A100,Candidates!$K$2:$K$501,"Joined"))</f>
        <v/>
      </c>
      <c r="O100" s="23" t="str">
        <f aca="false">IF($A100="","",MAX($F100-$N100,0))</f>
        <v/>
      </c>
      <c r="P100" s="24" t="str">
        <f aca="false">IF(OR($A100="",N($F100)=0),"",$N100/$F100)</f>
        <v/>
      </c>
      <c r="Q100" s="23" t="str">
        <f aca="true">IF(OR($A100="",$I100=""),"",TODAY()-$I100)</f>
        <v/>
      </c>
      <c r="R100" s="23" t="str">
        <f aca="true">IF(OR($A100="",$J100=""),"",$J100-TODAY())</f>
        <v/>
      </c>
      <c r="S100" s="25" t="str">
        <f aca="true">IF($A100="","",IF($O100=0,"Filled",IF(AND($J100&lt;&gt;"",TODAY()&gt;$J100),"Overdue",IF($L100=0,"No Pipeline","Open"))))</f>
        <v/>
      </c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2"/>
      <c r="J101" s="22"/>
      <c r="K101" s="23" t="str">
        <f aca="false">IF($A101="","",COUNTIF(Candidates!$E$2:$E$501,$A101))</f>
        <v/>
      </c>
      <c r="L101" s="23" t="str">
        <f aca="false">IF($A101="","",COUNTIFS(Candidates!$E$2:$E$501,$A101,Candidates!$M$2:$M$501,"Active"))</f>
        <v/>
      </c>
      <c r="M101" s="23" t="str">
        <f aca="false">IF($A101="","",COUNTIFS(Candidates!$E$2:$E$501,$A101,Candidates!$T$2:$T$501,"&lt;&gt;"))</f>
        <v/>
      </c>
      <c r="N101" s="23" t="str">
        <f aca="false">IF($A101="","",COUNTIFS(Candidates!$E$2:$E$501,$A101,Candidates!$K$2:$K$501,"Joined"))</f>
        <v/>
      </c>
      <c r="O101" s="23" t="str">
        <f aca="false">IF($A101="","",MAX($F101-$N101,0))</f>
        <v/>
      </c>
      <c r="P101" s="24" t="str">
        <f aca="false">IF(OR($A101="",N($F101)=0),"",$N101/$F101)</f>
        <v/>
      </c>
      <c r="Q101" s="23" t="str">
        <f aca="true">IF(OR($A101="",$I101=""),"",TODAY()-$I101)</f>
        <v/>
      </c>
      <c r="R101" s="23" t="str">
        <f aca="true">IF(OR($A101="",$J101=""),"",$J101-TODAY())</f>
        <v/>
      </c>
      <c r="S101" s="25" t="str">
        <f aca="true">IF($A101="","",IF($O101=0,"Filled",IF(AND($J101&lt;&gt;"",TODAY()&gt;$J101),"Overdue",IF($L101=0,"No Pipeline","Open"))))</f>
        <v/>
      </c>
    </row>
  </sheetData>
  <autoFilter ref="A1:S101"/>
  <conditionalFormatting sqref="S2:S101">
    <cfRule type="cellIs" priority="2" operator="equal" aboveAverage="0" equalAverage="0" bottom="0" percent="0" rank="0" text="" dxfId="10">
      <formula>"Overdue"</formula>
    </cfRule>
    <cfRule type="cellIs" priority="3" operator="equal" aboveAverage="0" equalAverage="0" bottom="0" percent="0" rank="0" text="" dxfId="11">
      <formula>"Filled"</formula>
    </cfRule>
    <cfRule type="cellIs" priority="4" operator="equal" aboveAverage="0" equalAverage="0" bottom="0" percent="0" rank="0" text="" dxfId="12">
      <formula>"No Pipeline"</formula>
    </cfRule>
  </conditionalFormatting>
  <conditionalFormatting sqref="G2:G101">
    <cfRule type="cellIs" priority="5" operator="equal" aboveAverage="0" equalAverage="0" bottom="0" percent="0" rank="0" text="" dxfId="13">
      <formula>"High"</formula>
    </cfRule>
  </conditionalFormatting>
  <conditionalFormatting sqref="P2:P101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{846F7420-3070-495F-9C77-DDDBD36DDBA1}</x14:id>
        </ext>
      </extLst>
    </cfRule>
  </conditionalFormatting>
  <dataValidations count="7">
    <dataValidation allowBlank="true" error="Please pick a value from the list / enter a valid value." errorStyle="stop" errorTitle="Invalid entry" operator="between" promptTitle="Department" showDropDown="false" showErrorMessage="true" showInputMessage="true" sqref="C2:C101" type="list">
      <formula1>Lists!$I$4:$I$30</formula1>
      <formula2>0</formula2>
    </dataValidation>
    <dataValidation allowBlank="true" error="Please pick a value from the list / enter a valid value." errorStyle="stop" errorTitle="Invalid entry" operator="between" promptTitle="Location" showDropDown="false" showErrorMessage="true" showInputMessage="true" sqref="E2:E101" type="list">
      <formula1>Lists!$J$4:$J$30</formula1>
      <formula2>0</formula2>
    </dataValidation>
    <dataValidation allowBlank="true" error="Please pick a value from the list / enter a valid value." errorStyle="stop" errorTitle="Invalid entry" operator="between" promptTitle="Priority" showDropDown="false" showErrorMessage="true" showInputMessage="true" sqref="G2:G101" type="list">
      <formula1>Lists!$K$4:$K$30</formula1>
      <formula2>0</formula2>
    </dataValidation>
    <dataValidation allowBlank="true" error="Please pick a value from the list / enter a valid value." errorStyle="stop" errorTitle="Invalid entry" operator="between" promptTitle="Recruiter" showDropDown="false" showErrorMessage="true" showInputMessage="true" sqref="H2:H101" type="list">
      <formula1>Lists!$H$4:$H$30</formula1>
      <formula2>0</formula2>
    </dataValidation>
    <dataValidation allowBlank="true" error="Please pick a value from the list / enter a valid value." errorStyle="stop" errorTitle="Invalid entry" operator="greaterThan" prompt="Enter a date" promptTitle="Date" showDropDown="false" showErrorMessage="true" showInputMessage="true" sqref="I2:I1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" promptTitle="Date" showDropDown="false" showErrorMessage="true" showInputMessage="true" sqref="J2:J101" type="date">
      <formula1>DATE(2000,1,1)</formula1>
      <formula2>0</formula2>
    </dataValidation>
    <dataValidation allowBlank="true" error="This Req ID already exists." errorStyle="stop" operator="between" showDropDown="false" showErrorMessage="true" showInputMessage="false" sqref="A2:A101" type="custom">
      <formula1>COUNTIF($A$2:$A$101,A2)=1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6F7420-3070-495F-9C77-DDDBD36DDBA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P2:P101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1" min="20" style="0" width="11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5" min="24" style="0" width="8"/>
    <col collapsed="false" customWidth="true" hidden="false" outlineLevel="0" max="26" min="26" style="0" width="10"/>
    <col collapsed="false" customWidth="true" hidden="false" outlineLevel="0" max="27" min="27" style="0" width="30"/>
    <col collapsed="false" customWidth="true" hidden="false" outlineLevel="0" max="28" min="28" style="0" width="11"/>
    <col collapsed="false" customWidth="true" hidden="false" outlineLevel="0" max="31" min="29" style="0" width="9"/>
  </cols>
  <sheetData>
    <row r="1" customFormat="false" ht="42" hidden="false" customHeight="true" outlineLevel="0" collapsed="false">
      <c r="A1" s="20" t="s">
        <v>114</v>
      </c>
      <c r="B1" s="19" t="s">
        <v>115</v>
      </c>
      <c r="C1" s="19" t="s">
        <v>116</v>
      </c>
      <c r="D1" s="19" t="s">
        <v>117</v>
      </c>
      <c r="E1" s="19" t="s">
        <v>68</v>
      </c>
      <c r="F1" s="20" t="s">
        <v>69</v>
      </c>
      <c r="G1" s="20" t="s">
        <v>71</v>
      </c>
      <c r="H1" s="19" t="s">
        <v>52</v>
      </c>
      <c r="I1" s="19" t="s">
        <v>55</v>
      </c>
      <c r="J1" s="19" t="s">
        <v>118</v>
      </c>
      <c r="K1" s="19" t="s">
        <v>119</v>
      </c>
      <c r="L1" s="19" t="s">
        <v>120</v>
      </c>
      <c r="M1" s="20" t="s">
        <v>121</v>
      </c>
      <c r="N1" s="19" t="s">
        <v>122</v>
      </c>
      <c r="O1" s="19" t="s">
        <v>123</v>
      </c>
      <c r="P1" s="19" t="s">
        <v>124</v>
      </c>
      <c r="Q1" s="19" t="s">
        <v>125</v>
      </c>
      <c r="R1" s="19" t="s">
        <v>126</v>
      </c>
      <c r="S1" s="19" t="s">
        <v>127</v>
      </c>
      <c r="T1" s="19" t="s">
        <v>128</v>
      </c>
      <c r="U1" s="19" t="s">
        <v>129</v>
      </c>
      <c r="V1" s="20" t="s">
        <v>130</v>
      </c>
      <c r="W1" s="20" t="s">
        <v>131</v>
      </c>
      <c r="X1" s="20" t="s">
        <v>132</v>
      </c>
      <c r="Y1" s="20" t="s">
        <v>133</v>
      </c>
      <c r="Z1" s="20" t="s">
        <v>134</v>
      </c>
      <c r="AA1" s="20" t="s">
        <v>135</v>
      </c>
      <c r="AB1" s="20" t="s">
        <v>136</v>
      </c>
      <c r="AC1" s="20" t="s">
        <v>137</v>
      </c>
      <c r="AD1" s="20" t="s">
        <v>138</v>
      </c>
      <c r="AE1" s="20" t="s">
        <v>139</v>
      </c>
    </row>
    <row r="2" customFormat="false" ht="15" hidden="false" customHeight="false" outlineLevel="0" collapsed="false">
      <c r="A2" s="25" t="str">
        <f aca="false">IF($B2="","","C-"&amp;TEXT(ROW()-1,"0000"))</f>
        <v>C-0001</v>
      </c>
      <c r="B2" s="21" t="s">
        <v>140</v>
      </c>
      <c r="C2" s="21" t="s">
        <v>141</v>
      </c>
      <c r="D2" s="21" t="s">
        <v>142</v>
      </c>
      <c r="E2" s="21" t="s">
        <v>80</v>
      </c>
      <c r="F2" s="25" t="str">
        <f aca="false">IF($E2="","",IFERROR(INDEX(Requisitions!$B$2:$B$101,MATCH($E2,Requisitions!$A$2:$A$101,0)),"Unknown Req"))</f>
        <v>QA Automation Engineer (Python)</v>
      </c>
      <c r="G2" s="25" t="str">
        <f aca="false">IF($E2="","",IFERROR(INDEX(Requisitions!$D$2:$D$101,MATCH($E2,Requisitions!$A$2:$A$101,0)),""))</f>
        <v>S. Raman</v>
      </c>
      <c r="H2" s="21" t="s">
        <v>143</v>
      </c>
      <c r="I2" s="21" t="s">
        <v>86</v>
      </c>
      <c r="J2" s="22" t="n">
        <v>46184</v>
      </c>
      <c r="K2" s="21" t="s">
        <v>44</v>
      </c>
      <c r="L2" s="22" t="n">
        <v>46305</v>
      </c>
      <c r="M2" s="25" t="str">
        <f aca="false">IF($K2="","",IFERROR(INDEX(Lists!$D$4:$D$14,MATCH($K2,Lists!$A$4:$A$14,0)),"Check stage"))</f>
        <v>Active</v>
      </c>
      <c r="N2" s="21"/>
      <c r="O2" s="21" t="n">
        <v>1.5</v>
      </c>
      <c r="P2" s="26" t="n">
        <v>12.3</v>
      </c>
      <c r="Q2" s="26" t="n">
        <v>14.4</v>
      </c>
      <c r="R2" s="21" t="n">
        <v>15</v>
      </c>
      <c r="S2" s="21" t="n">
        <v>4</v>
      </c>
      <c r="T2" s="22"/>
      <c r="U2" s="22"/>
      <c r="V2" s="24" t="n">
        <f aca="false">IF(OR(N($P2)=0,$Q2=""),"",$Q2/$P2-1)</f>
        <v>0.170731707317073</v>
      </c>
      <c r="W2" s="25" t="n">
        <f aca="true">IF($J2="","",IF($M2="Active",TODAY(),IF($U2&lt;&gt;"",$U2,IF($L2&lt;&gt;"",$L2,TODAY())))-$J2)</f>
        <v>126</v>
      </c>
      <c r="X2" s="25" t="n">
        <f aca="true">IF(OR($L2="",$M2&lt;&gt;"Active"),"",TODAY()-$L2)</f>
        <v>5</v>
      </c>
      <c r="Y2" s="25" t="n">
        <f aca="false">IF($M2&lt;&gt;"Active","",INDEX(Lists!$C$4:$C$14,MATCH($K2,Lists!$A$4:$A$14,0)))</f>
        <v>3</v>
      </c>
      <c r="Z2" s="25" t="str">
        <f aca="false">IF($B2="","",IF($M2&lt;&gt;"Active","Closed",IF($X2="","",IF($X2&gt;$Y2,"BREACH","On Track"))))</f>
        <v>BREACH</v>
      </c>
      <c r="AA2" s="25" t="str">
        <f aca="false">IF($K2="","",IFERROR(INDEX(Lists!$E$4:$E$14,MATCH($K2,Lists!$A$4:$A$14,0)),""))</f>
        <v>HR discussion &amp; salary alignment</v>
      </c>
      <c r="AB2" s="27" t="str">
        <f aca="false">IF($U2&lt;&gt;"",$U2,IF(OR($T2="",$M2&lt;&gt;"Active"),"",$T2+N($R2)))</f>
        <v/>
      </c>
      <c r="AC2" s="25" t="str">
        <f aca="false">IF(OR($T2="",$J2=""),"",$T2-$J2)</f>
        <v/>
      </c>
      <c r="AD2" s="25" t="str">
        <f aca="false">IF(AND($K2="Joined",$U2&lt;&gt;"",$J2&lt;&gt;""),$U2-$J2,"")</f>
        <v/>
      </c>
      <c r="AE2" s="25" t="n">
        <f aca="false">IF($K2="","",IF(OR($K2="Rejected",$K2="Withdrawn"),IFERROR(INDEX(Lists!$B$4:$B$14,MATCH($N2,Lists!$A$4:$A$14,0)),1),IFERROR(INDEX(Lists!$B$4:$B$14,MATCH($K2,Lists!$A$4:$A$14,0)),0)))</f>
        <v>5</v>
      </c>
    </row>
    <row r="3" customFormat="false" ht="15" hidden="false" customHeight="false" outlineLevel="0" collapsed="false">
      <c r="A3" s="25" t="str">
        <f aca="false">IF($B3="","","C-"&amp;TEXT(ROW()-1,"0000"))</f>
        <v>C-0002</v>
      </c>
      <c r="B3" s="21" t="s">
        <v>144</v>
      </c>
      <c r="C3" s="21" t="s">
        <v>145</v>
      </c>
      <c r="D3" s="21" t="s">
        <v>146</v>
      </c>
      <c r="E3" s="21" t="s">
        <v>87</v>
      </c>
      <c r="F3" s="25" t="str">
        <f aca="false">IF($E3="","",IFERROR(INDEX(Requisitions!$B$2:$B$101,MATCH($E3,Requisitions!$A$2:$A$101,0)),"Unknown Req"))</f>
        <v>Senior SDET</v>
      </c>
      <c r="G3" s="25" t="str">
        <f aca="false">IF($E3="","",IFERROR(INDEX(Requisitions!$D$2:$D$101,MATCH($E3,Requisitions!$A$2:$A$101,0)),""))</f>
        <v>M. Iyer</v>
      </c>
      <c r="H3" s="21" t="s">
        <v>147</v>
      </c>
      <c r="I3" s="21" t="s">
        <v>86</v>
      </c>
      <c r="J3" s="22" t="n">
        <v>46240</v>
      </c>
      <c r="K3" s="21" t="s">
        <v>46</v>
      </c>
      <c r="L3" s="22" t="n">
        <v>46260</v>
      </c>
      <c r="M3" s="25" t="str">
        <f aca="false">IF($K3="","",IFERROR(INDEX(Lists!$D$4:$D$14,MATCH($K3,Lists!$A$4:$A$14,0)),"Check stage"))</f>
        <v>Active</v>
      </c>
      <c r="N3" s="21"/>
      <c r="O3" s="21" t="n">
        <v>8.6</v>
      </c>
      <c r="P3" s="26" t="n">
        <v>5.5</v>
      </c>
      <c r="Q3" s="26" t="n">
        <v>6.5</v>
      </c>
      <c r="R3" s="21" t="n">
        <v>90</v>
      </c>
      <c r="S3" s="21" t="n">
        <v>3</v>
      </c>
      <c r="T3" s="22" t="n">
        <v>46259</v>
      </c>
      <c r="U3" s="22"/>
      <c r="V3" s="24" t="n">
        <f aca="false">IF(OR(N($P3)=0,$Q3=""),"",$Q3/$P3-1)</f>
        <v>0.181818181818182</v>
      </c>
      <c r="W3" s="25" t="n">
        <f aca="true">IF($J3="","",IF($M3="Active",TODAY(),IF($U3&lt;&gt;"",$U3,IF($L3&lt;&gt;"",$L3,TODAY())))-$J3)</f>
        <v>70</v>
      </c>
      <c r="X3" s="25" t="n">
        <f aca="true">IF(OR($L3="",$M3&lt;&gt;"Active"),"",TODAY()-$L3)</f>
        <v>50</v>
      </c>
      <c r="Y3" s="25" t="n">
        <f aca="false">IF($M3&lt;&gt;"Active","",INDEX(Lists!$C$4:$C$14,MATCH($K3,Lists!$A$4:$A$14,0)))</f>
        <v>30</v>
      </c>
      <c r="Z3" s="25" t="str">
        <f aca="false">IF($B3="","",IF($M3&lt;&gt;"Active","Closed",IF($X3="","",IF($X3&gt;$Y3,"BREACH","On Track"))))</f>
        <v>BREACH</v>
      </c>
      <c r="AA3" s="25" t="str">
        <f aca="false">IF($K3="","",IFERROR(INDEX(Lists!$E$4:$E$14,MATCH($K3,Lists!$A$4:$A$14,0)),""))</f>
        <v>Pre-joining engagement &amp; docs</v>
      </c>
      <c r="AB3" s="27" t="n">
        <f aca="false">IF($U3&lt;&gt;"",$U3,IF(OR($T3="",$M3&lt;&gt;"Active"),"",$T3+N($R3)))</f>
        <v>46349</v>
      </c>
      <c r="AC3" s="25" t="n">
        <f aca="false">IF(OR($T3="",$J3=""),"",$T3-$J3)</f>
        <v>19</v>
      </c>
      <c r="AD3" s="25" t="str">
        <f aca="false">IF(AND($K3="Joined",$U3&lt;&gt;"",$J3&lt;&gt;""),$U3-$J3,"")</f>
        <v/>
      </c>
      <c r="AE3" s="25" t="n">
        <f aca="false">IF($K3="","",IF(OR($K3="Rejected",$K3="Withdrawn"),IFERROR(INDEX(Lists!$B$4:$B$14,MATCH($N3,Lists!$A$4:$A$14,0)),1),IFERROR(INDEX(Lists!$B$4:$B$14,MATCH($K3,Lists!$A$4:$A$14,0)),0)))</f>
        <v>7</v>
      </c>
    </row>
    <row r="4" customFormat="false" ht="15" hidden="false" customHeight="false" outlineLevel="0" collapsed="false">
      <c r="A4" s="25" t="str">
        <f aca="false">IF($B4="","","C-"&amp;TEXT(ROW()-1,"0000"))</f>
        <v>C-0003</v>
      </c>
      <c r="B4" s="21" t="s">
        <v>148</v>
      </c>
      <c r="C4" s="21" t="s">
        <v>149</v>
      </c>
      <c r="D4" s="21" t="s">
        <v>150</v>
      </c>
      <c r="E4" s="21" t="s">
        <v>91</v>
      </c>
      <c r="F4" s="25" t="str">
        <f aca="false">IF($E4="","",IFERROR(INDEX(Requisitions!$B$2:$B$101,MATCH($E4,Requisitions!$A$2:$A$101,0)),"Unknown Req"))</f>
        <v>Python Backend Developer</v>
      </c>
      <c r="G4" s="25" t="str">
        <f aca="false">IF($E4="","",IFERROR(INDEX(Requisitions!$D$2:$D$101,MATCH($E4,Requisitions!$A$2:$A$101,0)),""))</f>
        <v>A. Kumar</v>
      </c>
      <c r="H4" s="21" t="s">
        <v>151</v>
      </c>
      <c r="I4" s="21" t="s">
        <v>96</v>
      </c>
      <c r="J4" s="22" t="n">
        <v>46238</v>
      </c>
      <c r="K4" s="21" t="s">
        <v>40</v>
      </c>
      <c r="L4" s="22" t="n">
        <v>46304</v>
      </c>
      <c r="M4" s="25" t="str">
        <f aca="false">IF($K4="","",IFERROR(INDEX(Lists!$D$4:$D$14,MATCH($K4,Lists!$A$4:$A$14,0)),"Check stage"))</f>
        <v>Active</v>
      </c>
      <c r="N4" s="21"/>
      <c r="O4" s="21" t="n">
        <v>8.4</v>
      </c>
      <c r="P4" s="26" t="n">
        <v>5</v>
      </c>
      <c r="Q4" s="26" t="n">
        <v>7.5</v>
      </c>
      <c r="R4" s="21" t="n">
        <v>60</v>
      </c>
      <c r="S4" s="21"/>
      <c r="T4" s="22"/>
      <c r="U4" s="22"/>
      <c r="V4" s="24" t="n">
        <f aca="false">IF(OR(N($P4)=0,$Q4=""),"",$Q4/$P4-1)</f>
        <v>0.5</v>
      </c>
      <c r="W4" s="25" t="n">
        <f aca="true">IF($J4="","",IF($M4="Active",TODAY(),IF($U4&lt;&gt;"",$U4,IF($L4&lt;&gt;"",$L4,TODAY())))-$J4)</f>
        <v>72</v>
      </c>
      <c r="X4" s="25" t="n">
        <f aca="true">IF(OR($L4="",$M4&lt;&gt;"Active"),"",TODAY()-$L4)</f>
        <v>6</v>
      </c>
      <c r="Y4" s="25" t="n">
        <f aca="false">IF($M4&lt;&gt;"Active","",INDEX(Lists!$C$4:$C$14,MATCH($K4,Lists!$A$4:$A$14,0)))</f>
        <v>3</v>
      </c>
      <c r="Z4" s="25" t="str">
        <f aca="false">IF($B4="","",IF($M4&lt;&gt;"Active","Closed",IF($X4="","",IF($X4&gt;$Y4,"BREACH","On Track"))))</f>
        <v>BREACH</v>
      </c>
      <c r="AA4" s="25" t="str">
        <f aca="false">IF($K4="","",IFERROR(INDEX(Lists!$E$4:$E$14,MATCH($K4,Lists!$A$4:$A$14,0)),""))</f>
        <v>Reach out &amp; share JD</v>
      </c>
      <c r="AB4" s="27" t="str">
        <f aca="false">IF($U4&lt;&gt;"",$U4,IF(OR($T4="",$M4&lt;&gt;"Active"),"",$T4+N($R4)))</f>
        <v/>
      </c>
      <c r="AC4" s="25" t="str">
        <f aca="false">IF(OR($T4="",$J4=""),"",$T4-$J4)</f>
        <v/>
      </c>
      <c r="AD4" s="25" t="str">
        <f aca="false">IF(AND($K4="Joined",$U4&lt;&gt;"",$J4&lt;&gt;""),$U4-$J4,"")</f>
        <v/>
      </c>
      <c r="AE4" s="25" t="n">
        <f aca="false">IF($K4="","",IF(OR($K4="Rejected",$K4="Withdrawn"),IFERROR(INDEX(Lists!$B$4:$B$14,MATCH($N4,Lists!$A$4:$A$14,0)),1),IFERROR(INDEX(Lists!$B$4:$B$14,MATCH($K4,Lists!$A$4:$A$14,0)),0)))</f>
        <v>1</v>
      </c>
    </row>
    <row r="5" customFormat="false" ht="15" hidden="false" customHeight="false" outlineLevel="0" collapsed="false">
      <c r="A5" s="25" t="str">
        <f aca="false">IF($B5="","","C-"&amp;TEXT(ROW()-1,"0000"))</f>
        <v>C-0004</v>
      </c>
      <c r="B5" s="21" t="s">
        <v>152</v>
      </c>
      <c r="C5" s="21" t="s">
        <v>153</v>
      </c>
      <c r="D5" s="21" t="s">
        <v>154</v>
      </c>
      <c r="E5" s="21" t="s">
        <v>97</v>
      </c>
      <c r="F5" s="25" t="str">
        <f aca="false">IF($E5="","",IFERROR(INDEX(Requisitions!$B$2:$B$101,MATCH($E5,Requisitions!$A$2:$A$101,0)),"Unknown Req"))</f>
        <v>DevOps Engineer</v>
      </c>
      <c r="G5" s="25" t="str">
        <f aca="false">IF($E5="","",IFERROR(INDEX(Requisitions!$D$2:$D$101,MATCH($E5,Requisitions!$A$2:$A$101,0)),""))</f>
        <v>R. Nair</v>
      </c>
      <c r="H5" s="21" t="s">
        <v>151</v>
      </c>
      <c r="I5" s="21" t="s">
        <v>102</v>
      </c>
      <c r="J5" s="22" t="n">
        <v>46251</v>
      </c>
      <c r="K5" s="21" t="s">
        <v>48</v>
      </c>
      <c r="L5" s="22" t="n">
        <v>46270</v>
      </c>
      <c r="M5" s="25" t="str">
        <f aca="false">IF($K5="","",IFERROR(INDEX(Lists!$D$4:$D$14,MATCH($K5,Lists!$A$4:$A$14,0)),"Check stage"))</f>
        <v>Lost</v>
      </c>
      <c r="N5" s="21" t="s">
        <v>42</v>
      </c>
      <c r="O5" s="21" t="n">
        <v>9</v>
      </c>
      <c r="P5" s="26" t="n">
        <v>6.2</v>
      </c>
      <c r="Q5" s="26" t="n">
        <v>8.5</v>
      </c>
      <c r="R5" s="21" t="n">
        <v>30</v>
      </c>
      <c r="S5" s="21" t="n">
        <v>5</v>
      </c>
      <c r="T5" s="22"/>
      <c r="U5" s="22"/>
      <c r="V5" s="24" t="n">
        <f aca="false">IF(OR(N($P5)=0,$Q5=""),"",$Q5/$P5-1)</f>
        <v>0.370967741935484</v>
      </c>
      <c r="W5" s="25" t="n">
        <f aca="true">IF($J5="","",IF($M5="Active",TODAY(),IF($U5&lt;&gt;"",$U5,IF($L5&lt;&gt;"",$L5,TODAY())))-$J5)</f>
        <v>19</v>
      </c>
      <c r="X5" s="25" t="str">
        <f aca="true">IF(OR($L5="",$M5&lt;&gt;"Active"),"",TODAY()-$L5)</f>
        <v/>
      </c>
      <c r="Y5" s="25" t="str">
        <f aca="false">IF($M5&lt;&gt;"Active","",INDEX(Lists!$C$4:$C$14,MATCH($K5,Lists!$A$4:$A$14,0)))</f>
        <v/>
      </c>
      <c r="Z5" s="25" t="str">
        <f aca="false">IF($B5="","",IF($M5&lt;&gt;"Active","Closed",IF($X5="","",IF($X5&gt;$Y5,"BREACH","On Track"))))</f>
        <v>Closed</v>
      </c>
      <c r="AA5" s="25" t="str">
        <f aca="false">IF($K5="","",IFERROR(INDEX(Lists!$E$4:$E$14,MATCH($K5,Lists!$A$4:$A$14,0)),""))</f>
        <v>Send regret email</v>
      </c>
      <c r="AB5" s="27" t="str">
        <f aca="false">IF($U5&lt;&gt;"",$U5,IF(OR($T5="",$M5&lt;&gt;"Active"),"",$T5+N($R5)))</f>
        <v/>
      </c>
      <c r="AC5" s="25" t="str">
        <f aca="false">IF(OR($T5="",$J5=""),"",$T5-$J5)</f>
        <v/>
      </c>
      <c r="AD5" s="25" t="str">
        <f aca="false">IF(AND($K5="Joined",$U5&lt;&gt;"",$J5&lt;&gt;""),$U5-$J5,"")</f>
        <v/>
      </c>
      <c r="AE5" s="25" t="n">
        <f aca="false">IF($K5="","",IF(OR($K5="Rejected",$K5="Withdrawn"),IFERROR(INDEX(Lists!$B$4:$B$14,MATCH($N5,Lists!$A$4:$A$14,0)),1),IFERROR(INDEX(Lists!$B$4:$B$14,MATCH($K5,Lists!$A$4:$A$14,0)),0)))</f>
        <v>3</v>
      </c>
    </row>
    <row r="6" customFormat="false" ht="15" hidden="false" customHeight="false" outlineLevel="0" collapsed="false">
      <c r="A6" s="25" t="str">
        <f aca="false">IF($B6="","","C-"&amp;TEXT(ROW()-1,"0000"))</f>
        <v>C-0005</v>
      </c>
      <c r="B6" s="21" t="s">
        <v>155</v>
      </c>
      <c r="C6" s="21" t="s">
        <v>156</v>
      </c>
      <c r="D6" s="21" t="s">
        <v>157</v>
      </c>
      <c r="E6" s="21" t="s">
        <v>103</v>
      </c>
      <c r="F6" s="25" t="str">
        <f aca="false">IF($E6="","",IFERROR(INDEX(Requisitions!$B$2:$B$101,MATCH($E6,Requisitions!$A$2:$A$101,0)),"Unknown Req"))</f>
        <v>Data Engineer</v>
      </c>
      <c r="G6" s="25" t="str">
        <f aca="false">IF($E6="","",IFERROR(INDEX(Requisitions!$D$2:$D$101,MATCH($E6,Requisitions!$A$2:$A$101,0)),""))</f>
        <v>P. Das</v>
      </c>
      <c r="H6" s="21" t="s">
        <v>143</v>
      </c>
      <c r="I6" s="21" t="s">
        <v>96</v>
      </c>
      <c r="J6" s="22" t="n">
        <v>46268</v>
      </c>
      <c r="K6" s="21" t="s">
        <v>23</v>
      </c>
      <c r="L6" s="22" t="n">
        <v>46309</v>
      </c>
      <c r="M6" s="25" t="str">
        <f aca="false">IF($K6="","",IFERROR(INDEX(Lists!$D$4:$D$14,MATCH($K6,Lists!$A$4:$A$14,0)),"Check stage"))</f>
        <v>Hired</v>
      </c>
      <c r="N6" s="21"/>
      <c r="O6" s="21" t="n">
        <v>2.1</v>
      </c>
      <c r="P6" s="26" t="n">
        <v>20.3</v>
      </c>
      <c r="Q6" s="26" t="n">
        <v>27.1</v>
      </c>
      <c r="R6" s="21" t="n">
        <v>90</v>
      </c>
      <c r="S6" s="21" t="n">
        <v>3</v>
      </c>
      <c r="T6" s="22" t="n">
        <v>46297</v>
      </c>
      <c r="U6" s="22" t="n">
        <v>46309</v>
      </c>
      <c r="V6" s="24" t="n">
        <f aca="false">IF(OR(N($P6)=0,$Q6=""),"",$Q6/$P6-1)</f>
        <v>0.334975369458128</v>
      </c>
      <c r="W6" s="25" t="n">
        <f aca="true">IF($J6="","",IF($M6="Active",TODAY(),IF($U6&lt;&gt;"",$U6,IF($L6&lt;&gt;"",$L6,TODAY())))-$J6)</f>
        <v>41</v>
      </c>
      <c r="X6" s="25" t="str">
        <f aca="true">IF(OR($L6="",$M6&lt;&gt;"Active"),"",TODAY()-$L6)</f>
        <v/>
      </c>
      <c r="Y6" s="25" t="str">
        <f aca="false">IF($M6&lt;&gt;"Active","",INDEX(Lists!$C$4:$C$14,MATCH($K6,Lists!$A$4:$A$14,0)))</f>
        <v/>
      </c>
      <c r="Z6" s="25" t="str">
        <f aca="false">IF($B6="","",IF($M6&lt;&gt;"Active","Closed",IF($X6="","",IF($X6&gt;$Y6,"BREACH","On Track"))))</f>
        <v>Closed</v>
      </c>
      <c r="AA6" s="25" t="str">
        <f aca="false">IF($K6="","",IFERROR(INDEX(Lists!$E$4:$E$14,MATCH($K6,Lists!$A$4:$A$14,0)),""))</f>
        <v>Onboarding complete</v>
      </c>
      <c r="AB6" s="27" t="n">
        <f aca="false">IF($U6&lt;&gt;"",$U6,IF(OR($T6="",$M6&lt;&gt;"Active"),"",$T6+N($R6)))</f>
        <v>46309</v>
      </c>
      <c r="AC6" s="25" t="n">
        <f aca="false">IF(OR($T6="",$J6=""),"",$T6-$J6)</f>
        <v>29</v>
      </c>
      <c r="AD6" s="25" t="n">
        <f aca="false">IF(AND($K6="Joined",$U6&lt;&gt;"",$J6&lt;&gt;""),$U6-$J6,"")</f>
        <v>41</v>
      </c>
      <c r="AE6" s="25" t="n">
        <f aca="false">IF($K6="","",IF(OR($K6="Rejected",$K6="Withdrawn"),IFERROR(INDEX(Lists!$B$4:$B$14,MATCH($N6,Lists!$A$4:$A$14,0)),1),IFERROR(INDEX(Lists!$B$4:$B$14,MATCH($K6,Lists!$A$4:$A$14,0)),0)))</f>
        <v>8</v>
      </c>
    </row>
    <row r="7" customFormat="false" ht="15" hidden="false" customHeight="false" outlineLevel="0" collapsed="false">
      <c r="A7" s="25" t="str">
        <f aca="false">IF($B7="","","C-"&amp;TEXT(ROW()-1,"0000"))</f>
        <v>C-0006</v>
      </c>
      <c r="B7" s="21" t="s">
        <v>158</v>
      </c>
      <c r="C7" s="21" t="s">
        <v>159</v>
      </c>
      <c r="D7" s="21" t="s">
        <v>160</v>
      </c>
      <c r="E7" s="21" t="s">
        <v>109</v>
      </c>
      <c r="F7" s="25" t="str">
        <f aca="false">IF($E7="","",IFERROR(INDEX(Requisitions!$B$2:$B$101,MATCH($E7,Requisitions!$A$2:$A$101,0)),"Unknown Req"))</f>
        <v>Cloud Architect</v>
      </c>
      <c r="G7" s="25" t="str">
        <f aca="false">IF($E7="","",IFERROR(INDEX(Requisitions!$D$2:$D$101,MATCH($E7,Requisitions!$A$2:$A$101,0)),""))</f>
        <v>K. Menon</v>
      </c>
      <c r="H7" s="21" t="s">
        <v>147</v>
      </c>
      <c r="I7" s="21" t="s">
        <v>102</v>
      </c>
      <c r="J7" s="22" t="n">
        <v>46305</v>
      </c>
      <c r="K7" s="21" t="s">
        <v>44</v>
      </c>
      <c r="L7" s="22" t="n">
        <v>46306</v>
      </c>
      <c r="M7" s="25" t="str">
        <f aca="false">IF($K7="","",IFERROR(INDEX(Lists!$D$4:$D$14,MATCH($K7,Lists!$A$4:$A$14,0)),"Check stage"))</f>
        <v>Active</v>
      </c>
      <c r="N7" s="21"/>
      <c r="O7" s="21" t="n">
        <v>6.4</v>
      </c>
      <c r="P7" s="26" t="n">
        <v>14.4</v>
      </c>
      <c r="Q7" s="26" t="n">
        <v>18.5</v>
      </c>
      <c r="R7" s="21" t="n">
        <v>90</v>
      </c>
      <c r="S7" s="21" t="n">
        <v>4</v>
      </c>
      <c r="T7" s="22"/>
      <c r="U7" s="22"/>
      <c r="V7" s="24" t="n">
        <f aca="false">IF(OR(N($P7)=0,$Q7=""),"",$Q7/$P7-1)</f>
        <v>0.284722222222222</v>
      </c>
      <c r="W7" s="25" t="n">
        <f aca="true">IF($J7="","",IF($M7="Active",TODAY(),IF($U7&lt;&gt;"",$U7,IF($L7&lt;&gt;"",$L7,TODAY())))-$J7)</f>
        <v>5</v>
      </c>
      <c r="X7" s="25" t="n">
        <f aca="true">IF(OR($L7="",$M7&lt;&gt;"Active"),"",TODAY()-$L7)</f>
        <v>4</v>
      </c>
      <c r="Y7" s="25" t="n">
        <f aca="false">IF($M7&lt;&gt;"Active","",INDEX(Lists!$C$4:$C$14,MATCH($K7,Lists!$A$4:$A$14,0)))</f>
        <v>3</v>
      </c>
      <c r="Z7" s="25" t="str">
        <f aca="false">IF($B7="","",IF($M7&lt;&gt;"Active","Closed",IF($X7="","",IF($X7&gt;$Y7,"BREACH","On Track"))))</f>
        <v>BREACH</v>
      </c>
      <c r="AA7" s="25" t="str">
        <f aca="false">IF($K7="","",IFERROR(INDEX(Lists!$E$4:$E$14,MATCH($K7,Lists!$A$4:$A$14,0)),""))</f>
        <v>HR discussion &amp; salary alignment</v>
      </c>
      <c r="AB7" s="27" t="str">
        <f aca="false">IF($U7&lt;&gt;"",$U7,IF(OR($T7="",$M7&lt;&gt;"Active"),"",$T7+N($R7)))</f>
        <v/>
      </c>
      <c r="AC7" s="25" t="str">
        <f aca="false">IF(OR($T7="",$J7=""),"",$T7-$J7)</f>
        <v/>
      </c>
      <c r="AD7" s="25" t="str">
        <f aca="false">IF(AND($K7="Joined",$U7&lt;&gt;"",$J7&lt;&gt;""),$U7-$J7,"")</f>
        <v/>
      </c>
      <c r="AE7" s="25" t="n">
        <f aca="false">IF($K7="","",IF(OR($K7="Rejected",$K7="Withdrawn"),IFERROR(INDEX(Lists!$B$4:$B$14,MATCH($N7,Lists!$A$4:$A$14,0)),1),IFERROR(INDEX(Lists!$B$4:$B$14,MATCH($K7,Lists!$A$4:$A$14,0)),0)))</f>
        <v>5</v>
      </c>
    </row>
    <row r="8" customFormat="false" ht="15" hidden="false" customHeight="false" outlineLevel="0" collapsed="false">
      <c r="A8" s="25" t="str">
        <f aca="false">IF($B8="","","C-"&amp;TEXT(ROW()-1,"0000"))</f>
        <v>C-0007</v>
      </c>
      <c r="B8" s="21" t="s">
        <v>161</v>
      </c>
      <c r="C8" s="21" t="s">
        <v>162</v>
      </c>
      <c r="D8" s="21" t="s">
        <v>163</v>
      </c>
      <c r="E8" s="21" t="s">
        <v>80</v>
      </c>
      <c r="F8" s="25" t="str">
        <f aca="false">IF($E8="","",IFERROR(INDEX(Requisitions!$B$2:$B$101,MATCH($E8,Requisitions!$A$2:$A$101,0)),"Unknown Req"))</f>
        <v>QA Automation Engineer (Python)</v>
      </c>
      <c r="G8" s="25" t="str">
        <f aca="false">IF($E8="","",IFERROR(INDEX(Requisitions!$D$2:$D$101,MATCH($E8,Requisitions!$A$2:$A$101,0)),""))</f>
        <v>S. Raman</v>
      </c>
      <c r="H8" s="21" t="s">
        <v>164</v>
      </c>
      <c r="I8" s="21" t="s">
        <v>86</v>
      </c>
      <c r="J8" s="22" t="n">
        <v>46184</v>
      </c>
      <c r="K8" s="21" t="s">
        <v>44</v>
      </c>
      <c r="L8" s="22" t="n">
        <v>46305</v>
      </c>
      <c r="M8" s="25" t="str">
        <f aca="false">IF($K8="","",IFERROR(INDEX(Lists!$D$4:$D$14,MATCH($K8,Lists!$A$4:$A$14,0)),"Check stage"))</f>
        <v>Active</v>
      </c>
      <c r="N8" s="21"/>
      <c r="O8" s="21" t="n">
        <v>8.5</v>
      </c>
      <c r="P8" s="26" t="n">
        <v>23.6</v>
      </c>
      <c r="Q8" s="26" t="n">
        <v>31.1</v>
      </c>
      <c r="R8" s="21" t="n">
        <v>15</v>
      </c>
      <c r="S8" s="21" t="n">
        <v>3</v>
      </c>
      <c r="T8" s="22"/>
      <c r="U8" s="22"/>
      <c r="V8" s="24" t="n">
        <f aca="false">IF(OR(N($P8)=0,$Q8=""),"",$Q8/$P8-1)</f>
        <v>0.317796610169492</v>
      </c>
      <c r="W8" s="25" t="n">
        <f aca="true">IF($J8="","",IF($M8="Active",TODAY(),IF($U8&lt;&gt;"",$U8,IF($L8&lt;&gt;"",$L8,TODAY())))-$J8)</f>
        <v>126</v>
      </c>
      <c r="X8" s="25" t="n">
        <f aca="true">IF(OR($L8="",$M8&lt;&gt;"Active"),"",TODAY()-$L8)</f>
        <v>5</v>
      </c>
      <c r="Y8" s="25" t="n">
        <f aca="false">IF($M8&lt;&gt;"Active","",INDEX(Lists!$C$4:$C$14,MATCH($K8,Lists!$A$4:$A$14,0)))</f>
        <v>3</v>
      </c>
      <c r="Z8" s="25" t="str">
        <f aca="false">IF($B8="","",IF($M8&lt;&gt;"Active","Closed",IF($X8="","",IF($X8&gt;$Y8,"BREACH","On Track"))))</f>
        <v>BREACH</v>
      </c>
      <c r="AA8" s="25" t="str">
        <f aca="false">IF($K8="","",IFERROR(INDEX(Lists!$E$4:$E$14,MATCH($K8,Lists!$A$4:$A$14,0)),""))</f>
        <v>HR discussion &amp; salary alignment</v>
      </c>
      <c r="AB8" s="27" t="str">
        <f aca="false">IF($U8&lt;&gt;"",$U8,IF(OR($T8="",$M8&lt;&gt;"Active"),"",$T8+N($R8)))</f>
        <v/>
      </c>
      <c r="AC8" s="25" t="str">
        <f aca="false">IF(OR($T8="",$J8=""),"",$T8-$J8)</f>
        <v/>
      </c>
      <c r="AD8" s="25" t="str">
        <f aca="false">IF(AND($K8="Joined",$U8&lt;&gt;"",$J8&lt;&gt;""),$U8-$J8,"")</f>
        <v/>
      </c>
      <c r="AE8" s="25" t="n">
        <f aca="false">IF($K8="","",IF(OR($K8="Rejected",$K8="Withdrawn"),IFERROR(INDEX(Lists!$B$4:$B$14,MATCH($N8,Lists!$A$4:$A$14,0)),1),IFERROR(INDEX(Lists!$B$4:$B$14,MATCH($K8,Lists!$A$4:$A$14,0)),0)))</f>
        <v>5</v>
      </c>
    </row>
    <row r="9" customFormat="false" ht="15" hidden="false" customHeight="false" outlineLevel="0" collapsed="false">
      <c r="A9" s="25" t="str">
        <f aca="false">IF($B9="","","C-"&amp;TEXT(ROW()-1,"0000"))</f>
        <v>C-0008</v>
      </c>
      <c r="B9" s="21" t="s">
        <v>165</v>
      </c>
      <c r="C9" s="21" t="s">
        <v>166</v>
      </c>
      <c r="D9" s="21" t="s">
        <v>167</v>
      </c>
      <c r="E9" s="21" t="s">
        <v>87</v>
      </c>
      <c r="F9" s="25" t="str">
        <f aca="false">IF($E9="","",IFERROR(INDEX(Requisitions!$B$2:$B$101,MATCH($E9,Requisitions!$A$2:$A$101,0)),"Unknown Req"))</f>
        <v>Senior SDET</v>
      </c>
      <c r="G9" s="25" t="str">
        <f aca="false">IF($E9="","",IFERROR(INDEX(Requisitions!$D$2:$D$101,MATCH($E9,Requisitions!$A$2:$A$101,0)),""))</f>
        <v>M. Iyer</v>
      </c>
      <c r="H9" s="21" t="s">
        <v>164</v>
      </c>
      <c r="I9" s="21" t="s">
        <v>86</v>
      </c>
      <c r="J9" s="22" t="n">
        <v>46216</v>
      </c>
      <c r="K9" s="21" t="s">
        <v>23</v>
      </c>
      <c r="L9" s="22" t="n">
        <v>46250</v>
      </c>
      <c r="M9" s="25" t="str">
        <f aca="false">IF($K9="","",IFERROR(INDEX(Lists!$D$4:$D$14,MATCH($K9,Lists!$A$4:$A$14,0)),"Check stage"))</f>
        <v>Hired</v>
      </c>
      <c r="N9" s="21"/>
      <c r="O9" s="21" t="n">
        <v>4.7</v>
      </c>
      <c r="P9" s="26" t="n">
        <v>23.8</v>
      </c>
      <c r="Q9" s="26" t="n">
        <v>31.9</v>
      </c>
      <c r="R9" s="21" t="n">
        <v>15</v>
      </c>
      <c r="S9" s="21" t="n">
        <v>5</v>
      </c>
      <c r="T9" s="22" t="n">
        <v>46235</v>
      </c>
      <c r="U9" s="22" t="n">
        <v>46250</v>
      </c>
      <c r="V9" s="24" t="n">
        <f aca="false">IF(OR(N($P9)=0,$Q9=""),"",$Q9/$P9-1)</f>
        <v>0.340336134453781</v>
      </c>
      <c r="W9" s="25" t="n">
        <f aca="true">IF($J9="","",IF($M9="Active",TODAY(),IF($U9&lt;&gt;"",$U9,IF($L9&lt;&gt;"",$L9,TODAY())))-$J9)</f>
        <v>34</v>
      </c>
      <c r="X9" s="25" t="str">
        <f aca="true">IF(OR($L9="",$M9&lt;&gt;"Active"),"",TODAY()-$L9)</f>
        <v/>
      </c>
      <c r="Y9" s="25" t="str">
        <f aca="false">IF($M9&lt;&gt;"Active","",INDEX(Lists!$C$4:$C$14,MATCH($K9,Lists!$A$4:$A$14,0)))</f>
        <v/>
      </c>
      <c r="Z9" s="25" t="str">
        <f aca="false">IF($B9="","",IF($M9&lt;&gt;"Active","Closed",IF($X9="","",IF($X9&gt;$Y9,"BREACH","On Track"))))</f>
        <v>Closed</v>
      </c>
      <c r="AA9" s="25" t="str">
        <f aca="false">IF($K9="","",IFERROR(INDEX(Lists!$E$4:$E$14,MATCH($K9,Lists!$A$4:$A$14,0)),""))</f>
        <v>Onboarding complete</v>
      </c>
      <c r="AB9" s="27" t="n">
        <f aca="false">IF($U9&lt;&gt;"",$U9,IF(OR($T9="",$M9&lt;&gt;"Active"),"",$T9+N($R9)))</f>
        <v>46250</v>
      </c>
      <c r="AC9" s="25" t="n">
        <f aca="false">IF(OR($T9="",$J9=""),"",$T9-$J9)</f>
        <v>19</v>
      </c>
      <c r="AD9" s="25" t="n">
        <f aca="false">IF(AND($K9="Joined",$U9&lt;&gt;"",$J9&lt;&gt;""),$U9-$J9,"")</f>
        <v>34</v>
      </c>
      <c r="AE9" s="25" t="n">
        <f aca="false">IF($K9="","",IF(OR($K9="Rejected",$K9="Withdrawn"),IFERROR(INDEX(Lists!$B$4:$B$14,MATCH($N9,Lists!$A$4:$A$14,0)),1),IFERROR(INDEX(Lists!$B$4:$B$14,MATCH($K9,Lists!$A$4:$A$14,0)),0)))</f>
        <v>8</v>
      </c>
    </row>
    <row r="10" customFormat="false" ht="15" hidden="false" customHeight="false" outlineLevel="0" collapsed="false">
      <c r="A10" s="25" t="str">
        <f aca="false">IF($B10="","","C-"&amp;TEXT(ROW()-1,"0000"))</f>
        <v>C-0009</v>
      </c>
      <c r="B10" s="21" t="s">
        <v>168</v>
      </c>
      <c r="C10" s="21" t="s">
        <v>169</v>
      </c>
      <c r="D10" s="21" t="s">
        <v>170</v>
      </c>
      <c r="E10" s="21" t="s">
        <v>91</v>
      </c>
      <c r="F10" s="25" t="str">
        <f aca="false">IF($E10="","",IFERROR(INDEX(Requisitions!$B$2:$B$101,MATCH($E10,Requisitions!$A$2:$A$101,0)),"Unknown Req"))</f>
        <v>Python Backend Developer</v>
      </c>
      <c r="G10" s="25" t="str">
        <f aca="false">IF($E10="","",IFERROR(INDEX(Requisitions!$D$2:$D$101,MATCH($E10,Requisitions!$A$2:$A$101,0)),""))</f>
        <v>A. Kumar</v>
      </c>
      <c r="H10" s="21" t="s">
        <v>171</v>
      </c>
      <c r="I10" s="21" t="s">
        <v>96</v>
      </c>
      <c r="J10" s="22" t="n">
        <v>46246</v>
      </c>
      <c r="K10" s="21" t="s">
        <v>45</v>
      </c>
      <c r="L10" s="22" t="n">
        <v>46267</v>
      </c>
      <c r="M10" s="25" t="str">
        <f aca="false">IF($K10="","",IFERROR(INDEX(Lists!$D$4:$D$14,MATCH($K10,Lists!$A$4:$A$14,0)),"Check stage"))</f>
        <v>Active</v>
      </c>
      <c r="N10" s="21"/>
      <c r="O10" s="21" t="n">
        <v>2.7</v>
      </c>
      <c r="P10" s="26" t="n">
        <v>4.5</v>
      </c>
      <c r="Q10" s="26" t="n">
        <v>6</v>
      </c>
      <c r="R10" s="21" t="n">
        <v>30</v>
      </c>
      <c r="S10" s="21" t="n">
        <v>2</v>
      </c>
      <c r="T10" s="22" t="n">
        <v>46267</v>
      </c>
      <c r="U10" s="22"/>
      <c r="V10" s="24" t="n">
        <f aca="false">IF(OR(N($P10)=0,$Q10=""),"",$Q10/$P10-1)</f>
        <v>0.333333333333333</v>
      </c>
      <c r="W10" s="25" t="n">
        <f aca="true">IF($J10="","",IF($M10="Active",TODAY(),IF($U10&lt;&gt;"",$U10,IF($L10&lt;&gt;"",$L10,TODAY())))-$J10)</f>
        <v>64</v>
      </c>
      <c r="X10" s="25" t="n">
        <f aca="true">IF(OR($L10="",$M10&lt;&gt;"Active"),"",TODAY()-$L10)</f>
        <v>43</v>
      </c>
      <c r="Y10" s="25" t="n">
        <f aca="false">IF($M10&lt;&gt;"Active","",INDEX(Lists!$C$4:$C$14,MATCH($K10,Lists!$A$4:$A$14,0)))</f>
        <v>5</v>
      </c>
      <c r="Z10" s="25" t="str">
        <f aca="false">IF($B10="","",IF($M10&lt;&gt;"Active","Closed",IF($X10="","",IF($X10&gt;$Y10,"BREACH","On Track"))))</f>
        <v>BREACH</v>
      </c>
      <c r="AA10" s="25" t="str">
        <f aca="false">IF($K10="","",IFERROR(INDEX(Lists!$E$4:$E$14,MATCH($K10,Lists!$A$4:$A$14,0)),""))</f>
        <v>Follow up on offer acceptance</v>
      </c>
      <c r="AB10" s="27" t="n">
        <f aca="false">IF($U10&lt;&gt;"",$U10,IF(OR($T10="",$M10&lt;&gt;"Active"),"",$T10+N($R10)))</f>
        <v>46297</v>
      </c>
      <c r="AC10" s="25" t="n">
        <f aca="false">IF(OR($T10="",$J10=""),"",$T10-$J10)</f>
        <v>21</v>
      </c>
      <c r="AD10" s="25" t="str">
        <f aca="false">IF(AND($K10="Joined",$U10&lt;&gt;"",$J10&lt;&gt;""),$U10-$J10,"")</f>
        <v/>
      </c>
      <c r="AE10" s="25" t="n">
        <f aca="false">IF($K10="","",IF(OR($K10="Rejected",$K10="Withdrawn"),IFERROR(INDEX(Lists!$B$4:$B$14,MATCH($N10,Lists!$A$4:$A$14,0)),1),IFERROR(INDEX(Lists!$B$4:$B$14,MATCH($K10,Lists!$A$4:$A$14,0)),0)))</f>
        <v>6</v>
      </c>
    </row>
    <row r="11" customFormat="false" ht="15" hidden="false" customHeight="false" outlineLevel="0" collapsed="false">
      <c r="A11" s="25" t="str">
        <f aca="false">IF($B11="","","C-"&amp;TEXT(ROW()-1,"0000"))</f>
        <v>C-0010</v>
      </c>
      <c r="B11" s="21" t="s">
        <v>172</v>
      </c>
      <c r="C11" s="21" t="s">
        <v>173</v>
      </c>
      <c r="D11" s="21" t="s">
        <v>174</v>
      </c>
      <c r="E11" s="21" t="s">
        <v>97</v>
      </c>
      <c r="F11" s="25" t="str">
        <f aca="false">IF($E11="","",IFERROR(INDEX(Requisitions!$B$2:$B$101,MATCH($E11,Requisitions!$A$2:$A$101,0)),"Unknown Req"))</f>
        <v>DevOps Engineer</v>
      </c>
      <c r="G11" s="25" t="str">
        <f aca="false">IF($E11="","",IFERROR(INDEX(Requisitions!$D$2:$D$101,MATCH($E11,Requisitions!$A$2:$A$101,0)),""))</f>
        <v>R. Nair</v>
      </c>
      <c r="H11" s="21" t="s">
        <v>171</v>
      </c>
      <c r="I11" s="21" t="s">
        <v>102</v>
      </c>
      <c r="J11" s="22" t="n">
        <v>46265</v>
      </c>
      <c r="K11" s="21" t="s">
        <v>43</v>
      </c>
      <c r="L11" s="22" t="n">
        <v>46308</v>
      </c>
      <c r="M11" s="25" t="str">
        <f aca="false">IF($K11="","",IFERROR(INDEX(Lists!$D$4:$D$14,MATCH($K11,Lists!$A$4:$A$14,0)),"Check stage"))</f>
        <v>Active</v>
      </c>
      <c r="N11" s="21"/>
      <c r="O11" s="21" t="n">
        <v>12.5</v>
      </c>
      <c r="P11" s="26" t="n">
        <v>12.2</v>
      </c>
      <c r="Q11" s="26" t="n">
        <v>18.3</v>
      </c>
      <c r="R11" s="21" t="n">
        <v>15</v>
      </c>
      <c r="S11" s="21" t="n">
        <v>4</v>
      </c>
      <c r="T11" s="22"/>
      <c r="U11" s="22"/>
      <c r="V11" s="24" t="n">
        <f aca="false">IF(OR(N($P11)=0,$Q11=""),"",$Q11/$P11-1)</f>
        <v>0.5</v>
      </c>
      <c r="W11" s="25" t="n">
        <f aca="true">IF($J11="","",IF($M11="Active",TODAY(),IF($U11&lt;&gt;"",$U11,IF($L11&lt;&gt;"",$L11,TODAY())))-$J11)</f>
        <v>45</v>
      </c>
      <c r="X11" s="25" t="n">
        <f aca="true">IF(OR($L11="",$M11&lt;&gt;"Active"),"",TODAY()-$L11)</f>
        <v>2</v>
      </c>
      <c r="Y11" s="25" t="n">
        <f aca="false">IF($M11&lt;&gt;"Active","",INDEX(Lists!$C$4:$C$14,MATCH($K11,Lists!$A$4:$A$14,0)))</f>
        <v>5</v>
      </c>
      <c r="Z11" s="25" t="str">
        <f aca="false">IF($B11="","",IF($M11&lt;&gt;"Active","Closed",IF($X11="","",IF($X11&gt;$Y11,"BREACH","On Track"))))</f>
        <v>On Track</v>
      </c>
      <c r="AA11" s="25" t="str">
        <f aca="false">IF($K11="","",IFERROR(INDEX(Lists!$E$4:$E$14,MATCH($K11,Lists!$A$4:$A$14,0)),""))</f>
        <v>Schedule / collect Tech R2 feedback</v>
      </c>
      <c r="AB11" s="27" t="str">
        <f aca="false">IF($U11&lt;&gt;"",$U11,IF(OR($T11="",$M11&lt;&gt;"Active"),"",$T11+N($R11)))</f>
        <v/>
      </c>
      <c r="AC11" s="25" t="str">
        <f aca="false">IF(OR($T11="",$J11=""),"",$T11-$J11)</f>
        <v/>
      </c>
      <c r="AD11" s="25" t="str">
        <f aca="false">IF(AND($K11="Joined",$U11&lt;&gt;"",$J11&lt;&gt;""),$U11-$J11,"")</f>
        <v/>
      </c>
      <c r="AE11" s="25" t="n">
        <f aca="false">IF($K11="","",IF(OR($K11="Rejected",$K11="Withdrawn"),IFERROR(INDEX(Lists!$B$4:$B$14,MATCH($N11,Lists!$A$4:$A$14,0)),1),IFERROR(INDEX(Lists!$B$4:$B$14,MATCH($K11,Lists!$A$4:$A$14,0)),0)))</f>
        <v>4</v>
      </c>
    </row>
    <row r="12" customFormat="false" ht="15" hidden="false" customHeight="false" outlineLevel="0" collapsed="false">
      <c r="A12" s="25" t="str">
        <f aca="false">IF($B12="","","C-"&amp;TEXT(ROW()-1,"0000"))</f>
        <v>C-0011</v>
      </c>
      <c r="B12" s="21" t="s">
        <v>175</v>
      </c>
      <c r="C12" s="21" t="s">
        <v>176</v>
      </c>
      <c r="D12" s="21" t="s">
        <v>177</v>
      </c>
      <c r="E12" s="21" t="s">
        <v>103</v>
      </c>
      <c r="F12" s="25" t="str">
        <f aca="false">IF($E12="","",IFERROR(INDEX(Requisitions!$B$2:$B$101,MATCH($E12,Requisitions!$A$2:$A$101,0)),"Unknown Req"))</f>
        <v>Data Engineer</v>
      </c>
      <c r="G12" s="25" t="str">
        <f aca="false">IF($E12="","",IFERROR(INDEX(Requisitions!$D$2:$D$101,MATCH($E12,Requisitions!$A$2:$A$101,0)),""))</f>
        <v>P. Das</v>
      </c>
      <c r="H12" s="21" t="s">
        <v>143</v>
      </c>
      <c r="I12" s="21" t="s">
        <v>96</v>
      </c>
      <c r="J12" s="22" t="n">
        <v>46290</v>
      </c>
      <c r="K12" s="21" t="s">
        <v>46</v>
      </c>
      <c r="L12" s="22" t="n">
        <v>46304</v>
      </c>
      <c r="M12" s="25" t="str">
        <f aca="false">IF($K12="","",IFERROR(INDEX(Lists!$D$4:$D$14,MATCH($K12,Lists!$A$4:$A$14,0)),"Check stage"))</f>
        <v>Active</v>
      </c>
      <c r="N12" s="21"/>
      <c r="O12" s="21" t="n">
        <v>9.6</v>
      </c>
      <c r="P12" s="26" t="n">
        <v>9.8</v>
      </c>
      <c r="Q12" s="26" t="n">
        <v>12.9</v>
      </c>
      <c r="R12" s="21" t="n">
        <v>60</v>
      </c>
      <c r="S12" s="21" t="n">
        <v>2</v>
      </c>
      <c r="T12" s="22" t="n">
        <v>46302</v>
      </c>
      <c r="U12" s="22"/>
      <c r="V12" s="24" t="n">
        <f aca="false">IF(OR(N($P12)=0,$Q12=""),"",$Q12/$P12-1)</f>
        <v>0.316326530612245</v>
      </c>
      <c r="W12" s="25" t="n">
        <f aca="true">IF($J12="","",IF($M12="Active",TODAY(),IF($U12&lt;&gt;"",$U12,IF($L12&lt;&gt;"",$L12,TODAY())))-$J12)</f>
        <v>20</v>
      </c>
      <c r="X12" s="25" t="n">
        <f aca="true">IF(OR($L12="",$M12&lt;&gt;"Active"),"",TODAY()-$L12)</f>
        <v>6</v>
      </c>
      <c r="Y12" s="25" t="n">
        <f aca="false">IF($M12&lt;&gt;"Active","",INDEX(Lists!$C$4:$C$14,MATCH($K12,Lists!$A$4:$A$14,0)))</f>
        <v>30</v>
      </c>
      <c r="Z12" s="25" t="str">
        <f aca="false">IF($B12="","",IF($M12&lt;&gt;"Active","Closed",IF($X12="","",IF($X12&gt;$Y12,"BREACH","On Track"))))</f>
        <v>On Track</v>
      </c>
      <c r="AA12" s="25" t="str">
        <f aca="false">IF($K12="","",IFERROR(INDEX(Lists!$E$4:$E$14,MATCH($K12,Lists!$A$4:$A$14,0)),""))</f>
        <v>Pre-joining engagement &amp; docs</v>
      </c>
      <c r="AB12" s="27" t="n">
        <f aca="false">IF($U12&lt;&gt;"",$U12,IF(OR($T12="",$M12&lt;&gt;"Active"),"",$T12+N($R12)))</f>
        <v>46362</v>
      </c>
      <c r="AC12" s="25" t="n">
        <f aca="false">IF(OR($T12="",$J12=""),"",$T12-$J12)</f>
        <v>12</v>
      </c>
      <c r="AD12" s="25" t="str">
        <f aca="false">IF(AND($K12="Joined",$U12&lt;&gt;"",$J12&lt;&gt;""),$U12-$J12,"")</f>
        <v/>
      </c>
      <c r="AE12" s="25" t="n">
        <f aca="false">IF($K12="","",IF(OR($K12="Rejected",$K12="Withdrawn"),IFERROR(INDEX(Lists!$B$4:$B$14,MATCH($N12,Lists!$A$4:$A$14,0)),1),IFERROR(INDEX(Lists!$B$4:$B$14,MATCH($K12,Lists!$A$4:$A$14,0)),0)))</f>
        <v>7</v>
      </c>
    </row>
    <row r="13" customFormat="false" ht="15" hidden="false" customHeight="false" outlineLevel="0" collapsed="false">
      <c r="A13" s="25" t="str">
        <f aca="false">IF($B13="","","C-"&amp;TEXT(ROW()-1,"0000"))</f>
        <v>C-0012</v>
      </c>
      <c r="B13" s="21" t="s">
        <v>178</v>
      </c>
      <c r="C13" s="21" t="s">
        <v>179</v>
      </c>
      <c r="D13" s="21" t="s">
        <v>180</v>
      </c>
      <c r="E13" s="21" t="s">
        <v>109</v>
      </c>
      <c r="F13" s="25" t="str">
        <f aca="false">IF($E13="","",IFERROR(INDEX(Requisitions!$B$2:$B$101,MATCH($E13,Requisitions!$A$2:$A$101,0)),"Unknown Req"))</f>
        <v>Cloud Architect</v>
      </c>
      <c r="G13" s="25" t="str">
        <f aca="false">IF($E13="","",IFERROR(INDEX(Requisitions!$D$2:$D$101,MATCH($E13,Requisitions!$A$2:$A$101,0)),""))</f>
        <v>K. Menon</v>
      </c>
      <c r="H13" s="21" t="s">
        <v>147</v>
      </c>
      <c r="I13" s="21" t="s">
        <v>102</v>
      </c>
      <c r="J13" s="22" t="n">
        <v>46305</v>
      </c>
      <c r="K13" s="21" t="s">
        <v>40</v>
      </c>
      <c r="L13" s="22" t="n">
        <v>46310</v>
      </c>
      <c r="M13" s="25" t="str">
        <f aca="false">IF($K13="","",IFERROR(INDEX(Lists!$D$4:$D$14,MATCH($K13,Lists!$A$4:$A$14,0)),"Check stage"))</f>
        <v>Active</v>
      </c>
      <c r="N13" s="21"/>
      <c r="O13" s="21" t="n">
        <v>5.8</v>
      </c>
      <c r="P13" s="26" t="n">
        <v>21.5</v>
      </c>
      <c r="Q13" s="26" t="n">
        <v>26.3</v>
      </c>
      <c r="R13" s="21" t="n">
        <v>60</v>
      </c>
      <c r="S13" s="21"/>
      <c r="T13" s="22"/>
      <c r="U13" s="22"/>
      <c r="V13" s="24" t="n">
        <f aca="false">IF(OR(N($P13)=0,$Q13=""),"",$Q13/$P13-1)</f>
        <v>0.223255813953488</v>
      </c>
      <c r="W13" s="25" t="n">
        <f aca="true">IF($J13="","",IF($M13="Active",TODAY(),IF($U13&lt;&gt;"",$U13,IF($L13&lt;&gt;"",$L13,TODAY())))-$J13)</f>
        <v>5</v>
      </c>
      <c r="X13" s="25" t="n">
        <f aca="true">IF(OR($L13="",$M13&lt;&gt;"Active"),"",TODAY()-$L13)</f>
        <v>0</v>
      </c>
      <c r="Y13" s="25" t="n">
        <f aca="false">IF($M13&lt;&gt;"Active","",INDEX(Lists!$C$4:$C$14,MATCH($K13,Lists!$A$4:$A$14,0)))</f>
        <v>3</v>
      </c>
      <c r="Z13" s="25" t="str">
        <f aca="false">IF($B13="","",IF($M13&lt;&gt;"Active","Closed",IF($X13="","",IF($X13&gt;$Y13,"BREACH","On Track"))))</f>
        <v>On Track</v>
      </c>
      <c r="AA13" s="25" t="str">
        <f aca="false">IF($K13="","",IFERROR(INDEX(Lists!$E$4:$E$14,MATCH($K13,Lists!$A$4:$A$14,0)),""))</f>
        <v>Reach out &amp; share JD</v>
      </c>
      <c r="AB13" s="27" t="str">
        <f aca="false">IF($U13&lt;&gt;"",$U13,IF(OR($T13="",$M13&lt;&gt;"Active"),"",$T13+N($R13)))</f>
        <v/>
      </c>
      <c r="AC13" s="25" t="str">
        <f aca="false">IF(OR($T13="",$J13=""),"",$T13-$J13)</f>
        <v/>
      </c>
      <c r="AD13" s="25" t="str">
        <f aca="false">IF(AND($K13="Joined",$U13&lt;&gt;"",$J13&lt;&gt;""),$U13-$J13,"")</f>
        <v/>
      </c>
      <c r="AE13" s="25" t="n">
        <f aca="false">IF($K13="","",IF(OR($K13="Rejected",$K13="Withdrawn"),IFERROR(INDEX(Lists!$B$4:$B$14,MATCH($N13,Lists!$A$4:$A$14,0)),1),IFERROR(INDEX(Lists!$B$4:$B$14,MATCH($K13,Lists!$A$4:$A$14,0)),0)))</f>
        <v>1</v>
      </c>
    </row>
    <row r="14" customFormat="false" ht="15" hidden="false" customHeight="false" outlineLevel="0" collapsed="false">
      <c r="A14" s="25" t="str">
        <f aca="false">IF($B14="","","C-"&amp;TEXT(ROW()-1,"0000"))</f>
        <v>C-0013</v>
      </c>
      <c r="B14" s="21" t="s">
        <v>181</v>
      </c>
      <c r="C14" s="21" t="s">
        <v>182</v>
      </c>
      <c r="D14" s="21" t="s">
        <v>183</v>
      </c>
      <c r="E14" s="21" t="s">
        <v>80</v>
      </c>
      <c r="F14" s="25" t="str">
        <f aca="false">IF($E14="","",IFERROR(INDEX(Requisitions!$B$2:$B$101,MATCH($E14,Requisitions!$A$2:$A$101,0)),"Unknown Req"))</f>
        <v>QA Automation Engineer (Python)</v>
      </c>
      <c r="G14" s="25" t="str">
        <f aca="false">IF($E14="","",IFERROR(INDEX(Requisitions!$D$2:$D$101,MATCH($E14,Requisitions!$A$2:$A$101,0)),""))</f>
        <v>S. Raman</v>
      </c>
      <c r="H14" s="21" t="s">
        <v>164</v>
      </c>
      <c r="I14" s="21" t="s">
        <v>86</v>
      </c>
      <c r="J14" s="22" t="n">
        <v>46195</v>
      </c>
      <c r="K14" s="21" t="s">
        <v>48</v>
      </c>
      <c r="L14" s="22" t="n">
        <v>46209</v>
      </c>
      <c r="M14" s="25" t="str">
        <f aca="false">IF($K14="","",IFERROR(INDEX(Lists!$D$4:$D$14,MATCH($K14,Lists!$A$4:$A$14,0)),"Check stage"))</f>
        <v>Lost</v>
      </c>
      <c r="N14" s="21" t="s">
        <v>43</v>
      </c>
      <c r="O14" s="21" t="n">
        <v>9.2</v>
      </c>
      <c r="P14" s="26" t="n">
        <v>24</v>
      </c>
      <c r="Q14" s="26" t="n">
        <v>34.2</v>
      </c>
      <c r="R14" s="21" t="n">
        <v>15</v>
      </c>
      <c r="S14" s="21" t="n">
        <v>4</v>
      </c>
      <c r="T14" s="22"/>
      <c r="U14" s="22"/>
      <c r="V14" s="24" t="n">
        <f aca="false">IF(OR(N($P14)=0,$Q14=""),"",$Q14/$P14-1)</f>
        <v>0.425</v>
      </c>
      <c r="W14" s="25" t="n">
        <f aca="true">IF($J14="","",IF($M14="Active",TODAY(),IF($U14&lt;&gt;"",$U14,IF($L14&lt;&gt;"",$L14,TODAY())))-$J14)</f>
        <v>14</v>
      </c>
      <c r="X14" s="25" t="str">
        <f aca="true">IF(OR($L14="",$M14&lt;&gt;"Active"),"",TODAY()-$L14)</f>
        <v/>
      </c>
      <c r="Y14" s="25" t="str">
        <f aca="false">IF($M14&lt;&gt;"Active","",INDEX(Lists!$C$4:$C$14,MATCH($K14,Lists!$A$4:$A$14,0)))</f>
        <v/>
      </c>
      <c r="Z14" s="25" t="str">
        <f aca="false">IF($B14="","",IF($M14&lt;&gt;"Active","Closed",IF($X14="","",IF($X14&gt;$Y14,"BREACH","On Track"))))</f>
        <v>Closed</v>
      </c>
      <c r="AA14" s="25" t="str">
        <f aca="false">IF($K14="","",IFERROR(INDEX(Lists!$E$4:$E$14,MATCH($K14,Lists!$A$4:$A$14,0)),""))</f>
        <v>Send regret email</v>
      </c>
      <c r="AB14" s="27" t="str">
        <f aca="false">IF($U14&lt;&gt;"",$U14,IF(OR($T14="",$M14&lt;&gt;"Active"),"",$T14+N($R14)))</f>
        <v/>
      </c>
      <c r="AC14" s="25" t="str">
        <f aca="false">IF(OR($T14="",$J14=""),"",$T14-$J14)</f>
        <v/>
      </c>
      <c r="AD14" s="25" t="str">
        <f aca="false">IF(AND($K14="Joined",$U14&lt;&gt;"",$J14&lt;&gt;""),$U14-$J14,"")</f>
        <v/>
      </c>
      <c r="AE14" s="25" t="n">
        <f aca="false">IF($K14="","",IF(OR($K14="Rejected",$K14="Withdrawn"),IFERROR(INDEX(Lists!$B$4:$B$14,MATCH($N14,Lists!$A$4:$A$14,0)),1),IFERROR(INDEX(Lists!$B$4:$B$14,MATCH($K14,Lists!$A$4:$A$14,0)),0)))</f>
        <v>4</v>
      </c>
    </row>
    <row r="15" customFormat="false" ht="15" hidden="false" customHeight="false" outlineLevel="0" collapsed="false">
      <c r="A15" s="25" t="str">
        <f aca="false">IF($B15="","","C-"&amp;TEXT(ROW()-1,"0000"))</f>
        <v>C-0014</v>
      </c>
      <c r="B15" s="21" t="s">
        <v>184</v>
      </c>
      <c r="C15" s="21" t="s">
        <v>185</v>
      </c>
      <c r="D15" s="21" t="s">
        <v>186</v>
      </c>
      <c r="E15" s="21" t="s">
        <v>87</v>
      </c>
      <c r="F15" s="25" t="str">
        <f aca="false">IF($E15="","",IFERROR(INDEX(Requisitions!$B$2:$B$101,MATCH($E15,Requisitions!$A$2:$A$101,0)),"Unknown Req"))</f>
        <v>Senior SDET</v>
      </c>
      <c r="G15" s="25" t="str">
        <f aca="false">IF($E15="","",IFERROR(INDEX(Requisitions!$D$2:$D$101,MATCH($E15,Requisitions!$A$2:$A$101,0)),""))</f>
        <v>M. Iyer</v>
      </c>
      <c r="H15" s="21" t="s">
        <v>151</v>
      </c>
      <c r="I15" s="21" t="s">
        <v>86</v>
      </c>
      <c r="J15" s="22" t="n">
        <v>46226</v>
      </c>
      <c r="K15" s="21" t="s">
        <v>40</v>
      </c>
      <c r="L15" s="22" t="n">
        <v>46309</v>
      </c>
      <c r="M15" s="25" t="str">
        <f aca="false">IF($K15="","",IFERROR(INDEX(Lists!$D$4:$D$14,MATCH($K15,Lists!$A$4:$A$14,0)),"Check stage"))</f>
        <v>Active</v>
      </c>
      <c r="N15" s="21"/>
      <c r="O15" s="21" t="n">
        <v>2.3</v>
      </c>
      <c r="P15" s="26" t="n">
        <v>5.4</v>
      </c>
      <c r="Q15" s="26" t="n">
        <v>6.7</v>
      </c>
      <c r="R15" s="21" t="n">
        <v>30</v>
      </c>
      <c r="S15" s="21"/>
      <c r="T15" s="22"/>
      <c r="U15" s="22"/>
      <c r="V15" s="24" t="n">
        <f aca="false">IF(OR(N($P15)=0,$Q15=""),"",$Q15/$P15-1)</f>
        <v>0.240740740740741</v>
      </c>
      <c r="W15" s="25" t="n">
        <f aca="true">IF($J15="","",IF($M15="Active",TODAY(),IF($U15&lt;&gt;"",$U15,IF($L15&lt;&gt;"",$L15,TODAY())))-$J15)</f>
        <v>84</v>
      </c>
      <c r="X15" s="25" t="n">
        <f aca="true">IF(OR($L15="",$M15&lt;&gt;"Active"),"",TODAY()-$L15)</f>
        <v>1</v>
      </c>
      <c r="Y15" s="25" t="n">
        <f aca="false">IF($M15&lt;&gt;"Active","",INDEX(Lists!$C$4:$C$14,MATCH($K15,Lists!$A$4:$A$14,0)))</f>
        <v>3</v>
      </c>
      <c r="Z15" s="25" t="str">
        <f aca="false">IF($B15="","",IF($M15&lt;&gt;"Active","Closed",IF($X15="","",IF($X15&gt;$Y15,"BREACH","On Track"))))</f>
        <v>On Track</v>
      </c>
      <c r="AA15" s="25" t="str">
        <f aca="false">IF($K15="","",IFERROR(INDEX(Lists!$E$4:$E$14,MATCH($K15,Lists!$A$4:$A$14,0)),""))</f>
        <v>Reach out &amp; share JD</v>
      </c>
      <c r="AB15" s="27" t="str">
        <f aca="false">IF($U15&lt;&gt;"",$U15,IF(OR($T15="",$M15&lt;&gt;"Active"),"",$T15+N($R15)))</f>
        <v/>
      </c>
      <c r="AC15" s="25" t="str">
        <f aca="false">IF(OR($T15="",$J15=""),"",$T15-$J15)</f>
        <v/>
      </c>
      <c r="AD15" s="25" t="str">
        <f aca="false">IF(AND($K15="Joined",$U15&lt;&gt;"",$J15&lt;&gt;""),$U15-$J15,"")</f>
        <v/>
      </c>
      <c r="AE15" s="25" t="n">
        <f aca="false">IF($K15="","",IF(OR($K15="Rejected",$K15="Withdrawn"),IFERROR(INDEX(Lists!$B$4:$B$14,MATCH($N15,Lists!$A$4:$A$14,0)),1),IFERROR(INDEX(Lists!$B$4:$B$14,MATCH($K15,Lists!$A$4:$A$14,0)),0)))</f>
        <v>1</v>
      </c>
    </row>
    <row r="16" customFormat="false" ht="15" hidden="false" customHeight="false" outlineLevel="0" collapsed="false">
      <c r="A16" s="25" t="str">
        <f aca="false">IF($B16="","","C-"&amp;TEXT(ROW()-1,"0000"))</f>
        <v>C-0015</v>
      </c>
      <c r="B16" s="21" t="s">
        <v>187</v>
      </c>
      <c r="C16" s="21" t="s">
        <v>188</v>
      </c>
      <c r="D16" s="21" t="s">
        <v>189</v>
      </c>
      <c r="E16" s="21" t="s">
        <v>91</v>
      </c>
      <c r="F16" s="25" t="str">
        <f aca="false">IF($E16="","",IFERROR(INDEX(Requisitions!$B$2:$B$101,MATCH($E16,Requisitions!$A$2:$A$101,0)),"Unknown Req"))</f>
        <v>Python Backend Developer</v>
      </c>
      <c r="G16" s="25" t="str">
        <f aca="false">IF($E16="","",IFERROR(INDEX(Requisitions!$D$2:$D$101,MATCH($E16,Requisitions!$A$2:$A$101,0)),""))</f>
        <v>A. Kumar</v>
      </c>
      <c r="H16" s="21" t="s">
        <v>147</v>
      </c>
      <c r="I16" s="21" t="s">
        <v>96</v>
      </c>
      <c r="J16" s="22" t="n">
        <v>46233</v>
      </c>
      <c r="K16" s="21" t="s">
        <v>48</v>
      </c>
      <c r="L16" s="22" t="n">
        <v>46247</v>
      </c>
      <c r="M16" s="25" t="str">
        <f aca="false">IF($K16="","",IFERROR(INDEX(Lists!$D$4:$D$14,MATCH($K16,Lists!$A$4:$A$14,0)),"Check stage"))</f>
        <v>Lost</v>
      </c>
      <c r="N16" s="21" t="s">
        <v>40</v>
      </c>
      <c r="O16" s="21" t="n">
        <v>5.7</v>
      </c>
      <c r="P16" s="26" t="n">
        <v>15.3</v>
      </c>
      <c r="Q16" s="26" t="n">
        <v>23.4</v>
      </c>
      <c r="R16" s="21" t="n">
        <v>15</v>
      </c>
      <c r="S16" s="21" t="n">
        <v>3</v>
      </c>
      <c r="T16" s="22"/>
      <c r="U16" s="22"/>
      <c r="V16" s="24" t="n">
        <f aca="false">IF(OR(N($P16)=0,$Q16=""),"",$Q16/$P16-1)</f>
        <v>0.529411764705882</v>
      </c>
      <c r="W16" s="25" t="n">
        <f aca="true">IF($J16="","",IF($M16="Active",TODAY(),IF($U16&lt;&gt;"",$U16,IF($L16&lt;&gt;"",$L16,TODAY())))-$J16)</f>
        <v>14</v>
      </c>
      <c r="X16" s="25" t="str">
        <f aca="true">IF(OR($L16="",$M16&lt;&gt;"Active"),"",TODAY()-$L16)</f>
        <v/>
      </c>
      <c r="Y16" s="25" t="str">
        <f aca="false">IF($M16&lt;&gt;"Active","",INDEX(Lists!$C$4:$C$14,MATCH($K16,Lists!$A$4:$A$14,0)))</f>
        <v/>
      </c>
      <c r="Z16" s="25" t="str">
        <f aca="false">IF($B16="","",IF($M16&lt;&gt;"Active","Closed",IF($X16="","",IF($X16&gt;$Y16,"BREACH","On Track"))))</f>
        <v>Closed</v>
      </c>
      <c r="AA16" s="25" t="str">
        <f aca="false">IF($K16="","",IFERROR(INDEX(Lists!$E$4:$E$14,MATCH($K16,Lists!$A$4:$A$14,0)),""))</f>
        <v>Send regret email</v>
      </c>
      <c r="AB16" s="27" t="str">
        <f aca="false">IF($U16&lt;&gt;"",$U16,IF(OR($T16="",$M16&lt;&gt;"Active"),"",$T16+N($R16)))</f>
        <v/>
      </c>
      <c r="AC16" s="25" t="str">
        <f aca="false">IF(OR($T16="",$J16=""),"",$T16-$J16)</f>
        <v/>
      </c>
      <c r="AD16" s="25" t="str">
        <f aca="false">IF(AND($K16="Joined",$U16&lt;&gt;"",$J16&lt;&gt;""),$U16-$J16,"")</f>
        <v/>
      </c>
      <c r="AE16" s="25" t="n">
        <f aca="false">IF($K16="","",IF(OR($K16="Rejected",$K16="Withdrawn"),IFERROR(INDEX(Lists!$B$4:$B$14,MATCH($N16,Lists!$A$4:$A$14,0)),1),IFERROR(INDEX(Lists!$B$4:$B$14,MATCH($K16,Lists!$A$4:$A$14,0)),0)))</f>
        <v>1</v>
      </c>
    </row>
    <row r="17" customFormat="false" ht="15" hidden="false" customHeight="false" outlineLevel="0" collapsed="false">
      <c r="A17" s="25" t="str">
        <f aca="false">IF($B17="","","C-"&amp;TEXT(ROW()-1,"0000"))</f>
        <v>C-0016</v>
      </c>
      <c r="B17" s="21" t="s">
        <v>190</v>
      </c>
      <c r="C17" s="21" t="s">
        <v>191</v>
      </c>
      <c r="D17" s="21" t="s">
        <v>192</v>
      </c>
      <c r="E17" s="21" t="s">
        <v>97</v>
      </c>
      <c r="F17" s="25" t="str">
        <f aca="false">IF($E17="","",IFERROR(INDEX(Requisitions!$B$2:$B$101,MATCH($E17,Requisitions!$A$2:$A$101,0)),"Unknown Req"))</f>
        <v>DevOps Engineer</v>
      </c>
      <c r="G17" s="25" t="str">
        <f aca="false">IF($E17="","",IFERROR(INDEX(Requisitions!$D$2:$D$101,MATCH($E17,Requisitions!$A$2:$A$101,0)),""))</f>
        <v>R. Nair</v>
      </c>
      <c r="H17" s="21" t="s">
        <v>151</v>
      </c>
      <c r="I17" s="21" t="s">
        <v>102</v>
      </c>
      <c r="J17" s="22" t="n">
        <v>46247</v>
      </c>
      <c r="K17" s="21" t="s">
        <v>41</v>
      </c>
      <c r="L17" s="22" t="n">
        <v>46303</v>
      </c>
      <c r="M17" s="25" t="str">
        <f aca="false">IF($K17="","",IFERROR(INDEX(Lists!$D$4:$D$14,MATCH($K17,Lists!$A$4:$A$14,0)),"Check stage"))</f>
        <v>Active</v>
      </c>
      <c r="N17" s="21"/>
      <c r="O17" s="21" t="n">
        <v>2.9</v>
      </c>
      <c r="P17" s="26" t="n">
        <v>21.8</v>
      </c>
      <c r="Q17" s="26" t="n">
        <v>33.7</v>
      </c>
      <c r="R17" s="21" t="n">
        <v>90</v>
      </c>
      <c r="S17" s="21"/>
      <c r="T17" s="22"/>
      <c r="U17" s="22"/>
      <c r="V17" s="24" t="n">
        <f aca="false">IF(OR(N($P17)=0,$Q17=""),"",$Q17/$P17-1)</f>
        <v>0.545871559633028</v>
      </c>
      <c r="W17" s="25" t="n">
        <f aca="true">IF($J17="","",IF($M17="Active",TODAY(),IF($U17&lt;&gt;"",$U17,IF($L17&lt;&gt;"",$L17,TODAY())))-$J17)</f>
        <v>63</v>
      </c>
      <c r="X17" s="25" t="n">
        <f aca="true">IF(OR($L17="",$M17&lt;&gt;"Active"),"",TODAY()-$L17)</f>
        <v>7</v>
      </c>
      <c r="Y17" s="25" t="n">
        <f aca="false">IF($M17&lt;&gt;"Active","",INDEX(Lists!$C$4:$C$14,MATCH($K17,Lists!$A$4:$A$14,0)))</f>
        <v>3</v>
      </c>
      <c r="Z17" s="25" t="str">
        <f aca="false">IF($B17="","",IF($M17&lt;&gt;"Active","Closed",IF($X17="","",IF($X17&gt;$Y17,"BREACH","On Track"))))</f>
        <v>BREACH</v>
      </c>
      <c r="AA17" s="25" t="str">
        <f aca="false">IF($K17="","",IFERROR(INDEX(Lists!$E$4:$E$14,MATCH($K17,Lists!$A$4:$A$14,0)),""))</f>
        <v>Complete phone screen</v>
      </c>
      <c r="AB17" s="27" t="str">
        <f aca="false">IF($U17&lt;&gt;"",$U17,IF(OR($T17="",$M17&lt;&gt;"Active"),"",$T17+N($R17)))</f>
        <v/>
      </c>
      <c r="AC17" s="25" t="str">
        <f aca="false">IF(OR($T17="",$J17=""),"",$T17-$J17)</f>
        <v/>
      </c>
      <c r="AD17" s="25" t="str">
        <f aca="false">IF(AND($K17="Joined",$U17&lt;&gt;"",$J17&lt;&gt;""),$U17-$J17,"")</f>
        <v/>
      </c>
      <c r="AE17" s="25" t="n">
        <f aca="false">IF($K17="","",IF(OR($K17="Rejected",$K17="Withdrawn"),IFERROR(INDEX(Lists!$B$4:$B$14,MATCH($N17,Lists!$A$4:$A$14,0)),1),IFERROR(INDEX(Lists!$B$4:$B$14,MATCH($K17,Lists!$A$4:$A$14,0)),0)))</f>
        <v>2</v>
      </c>
    </row>
    <row r="18" customFormat="false" ht="15" hidden="false" customHeight="false" outlineLevel="0" collapsed="false">
      <c r="A18" s="25" t="str">
        <f aca="false">IF($B18="","","C-"&amp;TEXT(ROW()-1,"0000"))</f>
        <v>C-0017</v>
      </c>
      <c r="B18" s="21" t="s">
        <v>193</v>
      </c>
      <c r="C18" s="21" t="s">
        <v>194</v>
      </c>
      <c r="D18" s="21" t="s">
        <v>195</v>
      </c>
      <c r="E18" s="21" t="s">
        <v>103</v>
      </c>
      <c r="F18" s="25" t="str">
        <f aca="false">IF($E18="","",IFERROR(INDEX(Requisitions!$B$2:$B$101,MATCH($E18,Requisitions!$A$2:$A$101,0)),"Unknown Req"))</f>
        <v>Data Engineer</v>
      </c>
      <c r="G18" s="25" t="str">
        <f aca="false">IF($E18="","",IFERROR(INDEX(Requisitions!$D$2:$D$101,MATCH($E18,Requisitions!$A$2:$A$101,0)),""))</f>
        <v>P. Das</v>
      </c>
      <c r="H18" s="21" t="s">
        <v>196</v>
      </c>
      <c r="I18" s="21" t="s">
        <v>96</v>
      </c>
      <c r="J18" s="22" t="n">
        <v>46271</v>
      </c>
      <c r="K18" s="21" t="s">
        <v>44</v>
      </c>
      <c r="L18" s="22" t="n">
        <v>46307</v>
      </c>
      <c r="M18" s="25" t="str">
        <f aca="false">IF($K18="","",IFERROR(INDEX(Lists!$D$4:$D$14,MATCH($K18,Lists!$A$4:$A$14,0)),"Check stage"))</f>
        <v>Active</v>
      </c>
      <c r="N18" s="21"/>
      <c r="O18" s="21" t="n">
        <v>8.1</v>
      </c>
      <c r="P18" s="26" t="n">
        <v>14.1</v>
      </c>
      <c r="Q18" s="26" t="n">
        <v>20.1</v>
      </c>
      <c r="R18" s="21" t="n">
        <v>15</v>
      </c>
      <c r="S18" s="21" t="n">
        <v>4</v>
      </c>
      <c r="T18" s="22"/>
      <c r="U18" s="22"/>
      <c r="V18" s="24" t="n">
        <f aca="false">IF(OR(N($P18)=0,$Q18=""),"",$Q18/$P18-1)</f>
        <v>0.425531914893617</v>
      </c>
      <c r="W18" s="25" t="n">
        <f aca="true">IF($J18="","",IF($M18="Active",TODAY(),IF($U18&lt;&gt;"",$U18,IF($L18&lt;&gt;"",$L18,TODAY())))-$J18)</f>
        <v>39</v>
      </c>
      <c r="X18" s="25" t="n">
        <f aca="true">IF(OR($L18="",$M18&lt;&gt;"Active"),"",TODAY()-$L18)</f>
        <v>3</v>
      </c>
      <c r="Y18" s="25" t="n">
        <f aca="false">IF($M18&lt;&gt;"Active","",INDEX(Lists!$C$4:$C$14,MATCH($K18,Lists!$A$4:$A$14,0)))</f>
        <v>3</v>
      </c>
      <c r="Z18" s="25" t="str">
        <f aca="false">IF($B18="","",IF($M18&lt;&gt;"Active","Closed",IF($X18="","",IF($X18&gt;$Y18,"BREACH","On Track"))))</f>
        <v>On Track</v>
      </c>
      <c r="AA18" s="25" t="str">
        <f aca="false">IF($K18="","",IFERROR(INDEX(Lists!$E$4:$E$14,MATCH($K18,Lists!$A$4:$A$14,0)),""))</f>
        <v>HR discussion &amp; salary alignment</v>
      </c>
      <c r="AB18" s="27" t="str">
        <f aca="false">IF($U18&lt;&gt;"",$U18,IF(OR($T18="",$M18&lt;&gt;"Active"),"",$T18+N($R18)))</f>
        <v/>
      </c>
      <c r="AC18" s="25" t="str">
        <f aca="false">IF(OR($T18="",$J18=""),"",$T18-$J18)</f>
        <v/>
      </c>
      <c r="AD18" s="25" t="str">
        <f aca="false">IF(AND($K18="Joined",$U18&lt;&gt;"",$J18&lt;&gt;""),$U18-$J18,"")</f>
        <v/>
      </c>
      <c r="AE18" s="25" t="n">
        <f aca="false">IF($K18="","",IF(OR($K18="Rejected",$K18="Withdrawn"),IFERROR(INDEX(Lists!$B$4:$B$14,MATCH($N18,Lists!$A$4:$A$14,0)),1),IFERROR(INDEX(Lists!$B$4:$B$14,MATCH($K18,Lists!$A$4:$A$14,0)),0)))</f>
        <v>5</v>
      </c>
    </row>
    <row r="19" customFormat="false" ht="15" hidden="false" customHeight="false" outlineLevel="0" collapsed="false">
      <c r="A19" s="25" t="str">
        <f aca="false">IF($B19="","","C-"&amp;TEXT(ROW()-1,"0000"))</f>
        <v>C-0018</v>
      </c>
      <c r="B19" s="21" t="s">
        <v>197</v>
      </c>
      <c r="C19" s="21" t="s">
        <v>198</v>
      </c>
      <c r="D19" s="21" t="s">
        <v>199</v>
      </c>
      <c r="E19" s="21" t="s">
        <v>109</v>
      </c>
      <c r="F19" s="25" t="str">
        <f aca="false">IF($E19="","",IFERROR(INDEX(Requisitions!$B$2:$B$101,MATCH($E19,Requisitions!$A$2:$A$101,0)),"Unknown Req"))</f>
        <v>Cloud Architect</v>
      </c>
      <c r="G19" s="25" t="str">
        <f aca="false">IF($E19="","",IFERROR(INDEX(Requisitions!$D$2:$D$101,MATCH($E19,Requisitions!$A$2:$A$101,0)),""))</f>
        <v>K. Menon</v>
      </c>
      <c r="H19" s="21" t="s">
        <v>143</v>
      </c>
      <c r="I19" s="21" t="s">
        <v>102</v>
      </c>
      <c r="J19" s="22" t="n">
        <v>46305</v>
      </c>
      <c r="K19" s="21" t="s">
        <v>40</v>
      </c>
      <c r="L19" s="22" t="n">
        <v>46306</v>
      </c>
      <c r="M19" s="25" t="str">
        <f aca="false">IF($K19="","",IFERROR(INDEX(Lists!$D$4:$D$14,MATCH($K19,Lists!$A$4:$A$14,0)),"Check stage"))</f>
        <v>Active</v>
      </c>
      <c r="N19" s="21"/>
      <c r="O19" s="21" t="n">
        <v>5.6</v>
      </c>
      <c r="P19" s="26" t="n">
        <v>10.3</v>
      </c>
      <c r="Q19" s="26" t="n">
        <v>14.5</v>
      </c>
      <c r="R19" s="21" t="n">
        <v>15</v>
      </c>
      <c r="S19" s="21"/>
      <c r="T19" s="22"/>
      <c r="U19" s="22"/>
      <c r="V19" s="24" t="n">
        <f aca="false">IF(OR(N($P19)=0,$Q19=""),"",$Q19/$P19-1)</f>
        <v>0.407766990291262</v>
      </c>
      <c r="W19" s="25" t="n">
        <f aca="true">IF($J19="","",IF($M19="Active",TODAY(),IF($U19&lt;&gt;"",$U19,IF($L19&lt;&gt;"",$L19,TODAY())))-$J19)</f>
        <v>5</v>
      </c>
      <c r="X19" s="25" t="n">
        <f aca="true">IF(OR($L19="",$M19&lt;&gt;"Active"),"",TODAY()-$L19)</f>
        <v>4</v>
      </c>
      <c r="Y19" s="25" t="n">
        <f aca="false">IF($M19&lt;&gt;"Active","",INDEX(Lists!$C$4:$C$14,MATCH($K19,Lists!$A$4:$A$14,0)))</f>
        <v>3</v>
      </c>
      <c r="Z19" s="25" t="str">
        <f aca="false">IF($B19="","",IF($M19&lt;&gt;"Active","Closed",IF($X19="","",IF($X19&gt;$Y19,"BREACH","On Track"))))</f>
        <v>BREACH</v>
      </c>
      <c r="AA19" s="25" t="str">
        <f aca="false">IF($K19="","",IFERROR(INDEX(Lists!$E$4:$E$14,MATCH($K19,Lists!$A$4:$A$14,0)),""))</f>
        <v>Reach out &amp; share JD</v>
      </c>
      <c r="AB19" s="27" t="str">
        <f aca="false">IF($U19&lt;&gt;"",$U19,IF(OR($T19="",$M19&lt;&gt;"Active"),"",$T19+N($R19)))</f>
        <v/>
      </c>
      <c r="AC19" s="25" t="str">
        <f aca="false">IF(OR($T19="",$J19=""),"",$T19-$J19)</f>
        <v/>
      </c>
      <c r="AD19" s="25" t="str">
        <f aca="false">IF(AND($K19="Joined",$U19&lt;&gt;"",$J19&lt;&gt;""),$U19-$J19,"")</f>
        <v/>
      </c>
      <c r="AE19" s="25" t="n">
        <f aca="false">IF($K19="","",IF(OR($K19="Rejected",$K19="Withdrawn"),IFERROR(INDEX(Lists!$B$4:$B$14,MATCH($N19,Lists!$A$4:$A$14,0)),1),IFERROR(INDEX(Lists!$B$4:$B$14,MATCH($K19,Lists!$A$4:$A$14,0)),0)))</f>
        <v>1</v>
      </c>
    </row>
    <row r="20" customFormat="false" ht="15" hidden="false" customHeight="false" outlineLevel="0" collapsed="false">
      <c r="A20" s="25" t="str">
        <f aca="false">IF($B20="","","C-"&amp;TEXT(ROW()-1,"0000"))</f>
        <v>C-0019</v>
      </c>
      <c r="B20" s="21" t="s">
        <v>200</v>
      </c>
      <c r="C20" s="21" t="s">
        <v>201</v>
      </c>
      <c r="D20" s="21" t="s">
        <v>202</v>
      </c>
      <c r="E20" s="21" t="s">
        <v>80</v>
      </c>
      <c r="F20" s="25" t="str">
        <f aca="false">IF($E20="","",IFERROR(INDEX(Requisitions!$B$2:$B$101,MATCH($E20,Requisitions!$A$2:$A$101,0)),"Unknown Req"))</f>
        <v>QA Automation Engineer (Python)</v>
      </c>
      <c r="G20" s="25" t="str">
        <f aca="false">IF($E20="","",IFERROR(INDEX(Requisitions!$D$2:$D$101,MATCH($E20,Requisitions!$A$2:$A$101,0)),""))</f>
        <v>S. Raman</v>
      </c>
      <c r="H20" s="21" t="s">
        <v>143</v>
      </c>
      <c r="I20" s="21" t="s">
        <v>86</v>
      </c>
      <c r="J20" s="22" t="n">
        <v>46209</v>
      </c>
      <c r="K20" s="21" t="s">
        <v>42</v>
      </c>
      <c r="L20" s="22" t="n">
        <v>46307</v>
      </c>
      <c r="M20" s="25" t="str">
        <f aca="false">IF($K20="","",IFERROR(INDEX(Lists!$D$4:$D$14,MATCH($K20,Lists!$A$4:$A$14,0)),"Check stage"))</f>
        <v>Active</v>
      </c>
      <c r="N20" s="21"/>
      <c r="O20" s="21" t="n">
        <v>3.6</v>
      </c>
      <c r="P20" s="26" t="n">
        <v>15.4</v>
      </c>
      <c r="Q20" s="26" t="n">
        <v>20.8</v>
      </c>
      <c r="R20" s="21" t="n">
        <v>30</v>
      </c>
      <c r="S20" s="21" t="n">
        <v>3</v>
      </c>
      <c r="T20" s="22"/>
      <c r="U20" s="22"/>
      <c r="V20" s="24" t="n">
        <f aca="false">IF(OR(N($P20)=0,$Q20=""),"",$Q20/$P20-1)</f>
        <v>0.350649350649351</v>
      </c>
      <c r="W20" s="25" t="n">
        <f aca="true">IF($J20="","",IF($M20="Active",TODAY(),IF($U20&lt;&gt;"",$U20,IF($L20&lt;&gt;"",$L20,TODAY())))-$J20)</f>
        <v>101</v>
      </c>
      <c r="X20" s="25" t="n">
        <f aca="true">IF(OR($L20="",$M20&lt;&gt;"Active"),"",TODAY()-$L20)</f>
        <v>3</v>
      </c>
      <c r="Y20" s="25" t="n">
        <f aca="false">IF($M20&lt;&gt;"Active","",INDEX(Lists!$C$4:$C$14,MATCH($K20,Lists!$A$4:$A$14,0)))</f>
        <v>5</v>
      </c>
      <c r="Z20" s="25" t="str">
        <f aca="false">IF($B20="","",IF($M20&lt;&gt;"Active","Closed",IF($X20="","",IF($X20&gt;$Y20,"BREACH","On Track"))))</f>
        <v>On Track</v>
      </c>
      <c r="AA20" s="25" t="str">
        <f aca="false">IF($K20="","",IFERROR(INDEX(Lists!$E$4:$E$14,MATCH($K20,Lists!$A$4:$A$14,0)),""))</f>
        <v>Schedule / collect Tech R1 feedback</v>
      </c>
      <c r="AB20" s="27" t="str">
        <f aca="false">IF($U20&lt;&gt;"",$U20,IF(OR($T20="",$M20&lt;&gt;"Active"),"",$T20+N($R20)))</f>
        <v/>
      </c>
      <c r="AC20" s="25" t="str">
        <f aca="false">IF(OR($T20="",$J20=""),"",$T20-$J20)</f>
        <v/>
      </c>
      <c r="AD20" s="25" t="str">
        <f aca="false">IF(AND($K20="Joined",$U20&lt;&gt;"",$J20&lt;&gt;""),$U20-$J20,"")</f>
        <v/>
      </c>
      <c r="AE20" s="25" t="n">
        <f aca="false">IF($K20="","",IF(OR($K20="Rejected",$K20="Withdrawn"),IFERROR(INDEX(Lists!$B$4:$B$14,MATCH($N20,Lists!$A$4:$A$14,0)),1),IFERROR(INDEX(Lists!$B$4:$B$14,MATCH($K20,Lists!$A$4:$A$14,0)),0)))</f>
        <v>3</v>
      </c>
    </row>
    <row r="21" customFormat="false" ht="15" hidden="false" customHeight="false" outlineLevel="0" collapsed="false">
      <c r="A21" s="25" t="str">
        <f aca="false">IF($B21="","","C-"&amp;TEXT(ROW()-1,"0000"))</f>
        <v>C-0020</v>
      </c>
      <c r="B21" s="21" t="s">
        <v>203</v>
      </c>
      <c r="C21" s="21" t="s">
        <v>204</v>
      </c>
      <c r="D21" s="21" t="s">
        <v>205</v>
      </c>
      <c r="E21" s="21" t="s">
        <v>87</v>
      </c>
      <c r="F21" s="25" t="str">
        <f aca="false">IF($E21="","",IFERROR(INDEX(Requisitions!$B$2:$B$101,MATCH($E21,Requisitions!$A$2:$A$101,0)),"Unknown Req"))</f>
        <v>Senior SDET</v>
      </c>
      <c r="G21" s="25" t="str">
        <f aca="false">IF($E21="","",IFERROR(INDEX(Requisitions!$D$2:$D$101,MATCH($E21,Requisitions!$A$2:$A$101,0)),""))</f>
        <v>M. Iyer</v>
      </c>
      <c r="H21" s="21" t="s">
        <v>164</v>
      </c>
      <c r="I21" s="21" t="s">
        <v>86</v>
      </c>
      <c r="J21" s="22" t="n">
        <v>46214</v>
      </c>
      <c r="K21" s="21" t="s">
        <v>23</v>
      </c>
      <c r="L21" s="22" t="n">
        <v>46309</v>
      </c>
      <c r="M21" s="25" t="str">
        <f aca="false">IF($K21="","",IFERROR(INDEX(Lists!$D$4:$D$14,MATCH($K21,Lists!$A$4:$A$14,0)),"Check stage"))</f>
        <v>Hired</v>
      </c>
      <c r="N21" s="21"/>
      <c r="O21" s="21" t="n">
        <v>11.5</v>
      </c>
      <c r="P21" s="26" t="n">
        <v>24.8</v>
      </c>
      <c r="Q21" s="26" t="n">
        <v>36.4</v>
      </c>
      <c r="R21" s="21" t="n">
        <v>90</v>
      </c>
      <c r="S21" s="21" t="n">
        <v>5</v>
      </c>
      <c r="T21" s="22" t="n">
        <v>46240</v>
      </c>
      <c r="U21" s="22" t="n">
        <v>46309</v>
      </c>
      <c r="V21" s="24" t="n">
        <f aca="false">IF(OR(N($P21)=0,$Q21=""),"",$Q21/$P21-1)</f>
        <v>0.467741935483871</v>
      </c>
      <c r="W21" s="25" t="n">
        <f aca="true">IF($J21="","",IF($M21="Active",TODAY(),IF($U21&lt;&gt;"",$U21,IF($L21&lt;&gt;"",$L21,TODAY())))-$J21)</f>
        <v>95</v>
      </c>
      <c r="X21" s="25" t="str">
        <f aca="true">IF(OR($L21="",$M21&lt;&gt;"Active"),"",TODAY()-$L21)</f>
        <v/>
      </c>
      <c r="Y21" s="25" t="str">
        <f aca="false">IF($M21&lt;&gt;"Active","",INDEX(Lists!$C$4:$C$14,MATCH($K21,Lists!$A$4:$A$14,0)))</f>
        <v/>
      </c>
      <c r="Z21" s="25" t="str">
        <f aca="false">IF($B21="","",IF($M21&lt;&gt;"Active","Closed",IF($X21="","",IF($X21&gt;$Y21,"BREACH","On Track"))))</f>
        <v>Closed</v>
      </c>
      <c r="AA21" s="25" t="str">
        <f aca="false">IF($K21="","",IFERROR(INDEX(Lists!$E$4:$E$14,MATCH($K21,Lists!$A$4:$A$14,0)),""))</f>
        <v>Onboarding complete</v>
      </c>
      <c r="AB21" s="27" t="n">
        <f aca="false">IF($U21&lt;&gt;"",$U21,IF(OR($T21="",$M21&lt;&gt;"Active"),"",$T21+N($R21)))</f>
        <v>46309</v>
      </c>
      <c r="AC21" s="25" t="n">
        <f aca="false">IF(OR($T21="",$J21=""),"",$T21-$J21)</f>
        <v>26</v>
      </c>
      <c r="AD21" s="25" t="n">
        <f aca="false">IF(AND($K21="Joined",$U21&lt;&gt;"",$J21&lt;&gt;""),$U21-$J21,"")</f>
        <v>95</v>
      </c>
      <c r="AE21" s="25" t="n">
        <f aca="false">IF($K21="","",IF(OR($K21="Rejected",$K21="Withdrawn"),IFERROR(INDEX(Lists!$B$4:$B$14,MATCH($N21,Lists!$A$4:$A$14,0)),1),IFERROR(INDEX(Lists!$B$4:$B$14,MATCH($K21,Lists!$A$4:$A$14,0)),0)))</f>
        <v>8</v>
      </c>
    </row>
    <row r="22" customFormat="false" ht="15" hidden="false" customHeight="false" outlineLevel="0" collapsed="false">
      <c r="A22" s="25" t="str">
        <f aca="false">IF($B22="","","C-"&amp;TEXT(ROW()-1,"0000"))</f>
        <v>C-0021</v>
      </c>
      <c r="B22" s="21" t="s">
        <v>206</v>
      </c>
      <c r="C22" s="21" t="s">
        <v>207</v>
      </c>
      <c r="D22" s="21" t="s">
        <v>208</v>
      </c>
      <c r="E22" s="21" t="s">
        <v>91</v>
      </c>
      <c r="F22" s="25" t="str">
        <f aca="false">IF($E22="","",IFERROR(INDEX(Requisitions!$B$2:$B$101,MATCH($E22,Requisitions!$A$2:$A$101,0)),"Unknown Req"))</f>
        <v>Python Backend Developer</v>
      </c>
      <c r="G22" s="25" t="str">
        <f aca="false">IF($E22="","",IFERROR(INDEX(Requisitions!$D$2:$D$101,MATCH($E22,Requisitions!$A$2:$A$101,0)),""))</f>
        <v>A. Kumar</v>
      </c>
      <c r="H22" s="21" t="s">
        <v>147</v>
      </c>
      <c r="I22" s="21" t="s">
        <v>96</v>
      </c>
      <c r="J22" s="22" t="n">
        <v>46247</v>
      </c>
      <c r="K22" s="21" t="s">
        <v>45</v>
      </c>
      <c r="L22" s="22" t="n">
        <v>46271</v>
      </c>
      <c r="M22" s="25" t="str">
        <f aca="false">IF($K22="","",IFERROR(INDEX(Lists!$D$4:$D$14,MATCH($K22,Lists!$A$4:$A$14,0)),"Check stage"))</f>
        <v>Active</v>
      </c>
      <c r="N22" s="21"/>
      <c r="O22" s="21" t="n">
        <v>11.9</v>
      </c>
      <c r="P22" s="26" t="n">
        <v>5.7</v>
      </c>
      <c r="Q22" s="26" t="n">
        <v>6.8</v>
      </c>
      <c r="R22" s="21" t="n">
        <v>90</v>
      </c>
      <c r="S22" s="21" t="n">
        <v>3</v>
      </c>
      <c r="T22" s="22" t="n">
        <v>46271</v>
      </c>
      <c r="U22" s="22"/>
      <c r="V22" s="24" t="n">
        <f aca="false">IF(OR(N($P22)=0,$Q22=""),"",$Q22/$P22-1)</f>
        <v>0.192982456140351</v>
      </c>
      <c r="W22" s="25" t="n">
        <f aca="true">IF($J22="","",IF($M22="Active",TODAY(),IF($U22&lt;&gt;"",$U22,IF($L22&lt;&gt;"",$L22,TODAY())))-$J22)</f>
        <v>63</v>
      </c>
      <c r="X22" s="25" t="n">
        <f aca="true">IF(OR($L22="",$M22&lt;&gt;"Active"),"",TODAY()-$L22)</f>
        <v>39</v>
      </c>
      <c r="Y22" s="25" t="n">
        <f aca="false">IF($M22&lt;&gt;"Active","",INDEX(Lists!$C$4:$C$14,MATCH($K22,Lists!$A$4:$A$14,0)))</f>
        <v>5</v>
      </c>
      <c r="Z22" s="25" t="str">
        <f aca="false">IF($B22="","",IF($M22&lt;&gt;"Active","Closed",IF($X22="","",IF($X22&gt;$Y22,"BREACH","On Track"))))</f>
        <v>BREACH</v>
      </c>
      <c r="AA22" s="25" t="str">
        <f aca="false">IF($K22="","",IFERROR(INDEX(Lists!$E$4:$E$14,MATCH($K22,Lists!$A$4:$A$14,0)),""))</f>
        <v>Follow up on offer acceptance</v>
      </c>
      <c r="AB22" s="27" t="n">
        <f aca="false">IF($U22&lt;&gt;"",$U22,IF(OR($T22="",$M22&lt;&gt;"Active"),"",$T22+N($R22)))</f>
        <v>46361</v>
      </c>
      <c r="AC22" s="25" t="n">
        <f aca="false">IF(OR($T22="",$J22=""),"",$T22-$J22)</f>
        <v>24</v>
      </c>
      <c r="AD22" s="25" t="str">
        <f aca="false">IF(AND($K22="Joined",$U22&lt;&gt;"",$J22&lt;&gt;""),$U22-$J22,"")</f>
        <v/>
      </c>
      <c r="AE22" s="25" t="n">
        <f aca="false">IF($K22="","",IF(OR($K22="Rejected",$K22="Withdrawn"),IFERROR(INDEX(Lists!$B$4:$B$14,MATCH($N22,Lists!$A$4:$A$14,0)),1),IFERROR(INDEX(Lists!$B$4:$B$14,MATCH($K22,Lists!$A$4:$A$14,0)),0)))</f>
        <v>6</v>
      </c>
    </row>
    <row r="23" customFormat="false" ht="15" hidden="false" customHeight="false" outlineLevel="0" collapsed="false">
      <c r="A23" s="25" t="str">
        <f aca="false">IF($B23="","","C-"&amp;TEXT(ROW()-1,"0000"))</f>
        <v>C-0022</v>
      </c>
      <c r="B23" s="21" t="s">
        <v>209</v>
      </c>
      <c r="C23" s="21" t="s">
        <v>210</v>
      </c>
      <c r="D23" s="21" t="s">
        <v>211</v>
      </c>
      <c r="E23" s="21" t="s">
        <v>97</v>
      </c>
      <c r="F23" s="25" t="str">
        <f aca="false">IF($E23="","",IFERROR(INDEX(Requisitions!$B$2:$B$101,MATCH($E23,Requisitions!$A$2:$A$101,0)),"Unknown Req"))</f>
        <v>DevOps Engineer</v>
      </c>
      <c r="G23" s="25" t="str">
        <f aca="false">IF($E23="","",IFERROR(INDEX(Requisitions!$D$2:$D$101,MATCH($E23,Requisitions!$A$2:$A$101,0)),""))</f>
        <v>R. Nair</v>
      </c>
      <c r="H23" s="21" t="s">
        <v>196</v>
      </c>
      <c r="I23" s="21" t="s">
        <v>102</v>
      </c>
      <c r="J23" s="22" t="n">
        <v>46242</v>
      </c>
      <c r="K23" s="21" t="s">
        <v>23</v>
      </c>
      <c r="L23" s="22" t="n">
        <v>46309</v>
      </c>
      <c r="M23" s="25" t="str">
        <f aca="false">IF($K23="","",IFERROR(INDEX(Lists!$D$4:$D$14,MATCH($K23,Lists!$A$4:$A$14,0)),"Check stage"))</f>
        <v>Hired</v>
      </c>
      <c r="N23" s="21"/>
      <c r="O23" s="21" t="n">
        <v>5.3</v>
      </c>
      <c r="P23" s="26" t="n">
        <v>21.5</v>
      </c>
      <c r="Q23" s="26" t="n">
        <v>25.8</v>
      </c>
      <c r="R23" s="21" t="n">
        <v>90</v>
      </c>
      <c r="S23" s="21" t="n">
        <v>3</v>
      </c>
      <c r="T23" s="22" t="n">
        <v>46266</v>
      </c>
      <c r="U23" s="22" t="n">
        <v>46309</v>
      </c>
      <c r="V23" s="24" t="n">
        <f aca="false">IF(OR(N($P23)=0,$Q23=""),"",$Q23/$P23-1)</f>
        <v>0.2</v>
      </c>
      <c r="W23" s="25" t="n">
        <f aca="true">IF($J23="","",IF($M23="Active",TODAY(),IF($U23&lt;&gt;"",$U23,IF($L23&lt;&gt;"",$L23,TODAY())))-$J23)</f>
        <v>67</v>
      </c>
      <c r="X23" s="25" t="str">
        <f aca="true">IF(OR($L23="",$M23&lt;&gt;"Active"),"",TODAY()-$L23)</f>
        <v/>
      </c>
      <c r="Y23" s="25" t="str">
        <f aca="false">IF($M23&lt;&gt;"Active","",INDEX(Lists!$C$4:$C$14,MATCH($K23,Lists!$A$4:$A$14,0)))</f>
        <v/>
      </c>
      <c r="Z23" s="25" t="str">
        <f aca="false">IF($B23="","",IF($M23&lt;&gt;"Active","Closed",IF($X23="","",IF($X23&gt;$Y23,"BREACH","On Track"))))</f>
        <v>Closed</v>
      </c>
      <c r="AA23" s="25" t="str">
        <f aca="false">IF($K23="","",IFERROR(INDEX(Lists!$E$4:$E$14,MATCH($K23,Lists!$A$4:$A$14,0)),""))</f>
        <v>Onboarding complete</v>
      </c>
      <c r="AB23" s="27" t="n">
        <f aca="false">IF($U23&lt;&gt;"",$U23,IF(OR($T23="",$M23&lt;&gt;"Active"),"",$T23+N($R23)))</f>
        <v>46309</v>
      </c>
      <c r="AC23" s="25" t="n">
        <f aca="false">IF(OR($T23="",$J23=""),"",$T23-$J23)</f>
        <v>24</v>
      </c>
      <c r="AD23" s="25" t="n">
        <f aca="false">IF(AND($K23="Joined",$U23&lt;&gt;"",$J23&lt;&gt;""),$U23-$J23,"")</f>
        <v>67</v>
      </c>
      <c r="AE23" s="25" t="n">
        <f aca="false">IF($K23="","",IF(OR($K23="Rejected",$K23="Withdrawn"),IFERROR(INDEX(Lists!$B$4:$B$14,MATCH($N23,Lists!$A$4:$A$14,0)),1),IFERROR(INDEX(Lists!$B$4:$B$14,MATCH($K23,Lists!$A$4:$A$14,0)),0)))</f>
        <v>8</v>
      </c>
    </row>
    <row r="24" customFormat="false" ht="15" hidden="false" customHeight="false" outlineLevel="0" collapsed="false">
      <c r="A24" s="25" t="str">
        <f aca="false">IF($B24="","","C-"&amp;TEXT(ROW()-1,"0000"))</f>
        <v>C-0023</v>
      </c>
      <c r="B24" s="21" t="s">
        <v>212</v>
      </c>
      <c r="C24" s="21" t="s">
        <v>213</v>
      </c>
      <c r="D24" s="21" t="s">
        <v>214</v>
      </c>
      <c r="E24" s="21" t="s">
        <v>103</v>
      </c>
      <c r="F24" s="25" t="str">
        <f aca="false">IF($E24="","",IFERROR(INDEX(Requisitions!$B$2:$B$101,MATCH($E24,Requisitions!$A$2:$A$101,0)),"Unknown Req"))</f>
        <v>Data Engineer</v>
      </c>
      <c r="G24" s="25" t="str">
        <f aca="false">IF($E24="","",IFERROR(INDEX(Requisitions!$D$2:$D$101,MATCH($E24,Requisitions!$A$2:$A$101,0)),""))</f>
        <v>P. Das</v>
      </c>
      <c r="H24" s="21" t="s">
        <v>196</v>
      </c>
      <c r="I24" s="21" t="s">
        <v>96</v>
      </c>
      <c r="J24" s="22" t="n">
        <v>46284</v>
      </c>
      <c r="K24" s="21" t="s">
        <v>46</v>
      </c>
      <c r="L24" s="22" t="n">
        <v>46306</v>
      </c>
      <c r="M24" s="25" t="str">
        <f aca="false">IF($K24="","",IFERROR(INDEX(Lists!$D$4:$D$14,MATCH($K24,Lists!$A$4:$A$14,0)),"Check stage"))</f>
        <v>Active</v>
      </c>
      <c r="N24" s="21"/>
      <c r="O24" s="21" t="n">
        <v>2.9</v>
      </c>
      <c r="P24" s="26" t="n">
        <v>12.4</v>
      </c>
      <c r="Q24" s="26" t="n">
        <v>19</v>
      </c>
      <c r="R24" s="21" t="n">
        <v>30</v>
      </c>
      <c r="S24" s="21" t="n">
        <v>3</v>
      </c>
      <c r="T24" s="22" t="n">
        <v>46305</v>
      </c>
      <c r="U24" s="22"/>
      <c r="V24" s="24" t="n">
        <f aca="false">IF(OR(N($P24)=0,$Q24=""),"",$Q24/$P24-1)</f>
        <v>0.532258064516129</v>
      </c>
      <c r="W24" s="25" t="n">
        <f aca="true">IF($J24="","",IF($M24="Active",TODAY(),IF($U24&lt;&gt;"",$U24,IF($L24&lt;&gt;"",$L24,TODAY())))-$J24)</f>
        <v>26</v>
      </c>
      <c r="X24" s="25" t="n">
        <f aca="true">IF(OR($L24="",$M24&lt;&gt;"Active"),"",TODAY()-$L24)</f>
        <v>4</v>
      </c>
      <c r="Y24" s="25" t="n">
        <f aca="false">IF($M24&lt;&gt;"Active","",INDEX(Lists!$C$4:$C$14,MATCH($K24,Lists!$A$4:$A$14,0)))</f>
        <v>30</v>
      </c>
      <c r="Z24" s="25" t="str">
        <f aca="false">IF($B24="","",IF($M24&lt;&gt;"Active","Closed",IF($X24="","",IF($X24&gt;$Y24,"BREACH","On Track"))))</f>
        <v>On Track</v>
      </c>
      <c r="AA24" s="25" t="str">
        <f aca="false">IF($K24="","",IFERROR(INDEX(Lists!$E$4:$E$14,MATCH($K24,Lists!$A$4:$A$14,0)),""))</f>
        <v>Pre-joining engagement &amp; docs</v>
      </c>
      <c r="AB24" s="27" t="n">
        <f aca="false">IF($U24&lt;&gt;"",$U24,IF(OR($T24="",$M24&lt;&gt;"Active"),"",$T24+N($R24)))</f>
        <v>46335</v>
      </c>
      <c r="AC24" s="25" t="n">
        <f aca="false">IF(OR($T24="",$J24=""),"",$T24-$J24)</f>
        <v>21</v>
      </c>
      <c r="AD24" s="25" t="str">
        <f aca="false">IF(AND($K24="Joined",$U24&lt;&gt;"",$J24&lt;&gt;""),$U24-$J24,"")</f>
        <v/>
      </c>
      <c r="AE24" s="25" t="n">
        <f aca="false">IF($K24="","",IF(OR($K24="Rejected",$K24="Withdrawn"),IFERROR(INDEX(Lists!$B$4:$B$14,MATCH($N24,Lists!$A$4:$A$14,0)),1),IFERROR(INDEX(Lists!$B$4:$B$14,MATCH($K24,Lists!$A$4:$A$14,0)),0)))</f>
        <v>7</v>
      </c>
    </row>
    <row r="25" customFormat="false" ht="15" hidden="false" customHeight="false" outlineLevel="0" collapsed="false">
      <c r="A25" s="25" t="str">
        <f aca="false">IF($B25="","","C-"&amp;TEXT(ROW()-1,"0000"))</f>
        <v>C-0024</v>
      </c>
      <c r="B25" s="21" t="s">
        <v>215</v>
      </c>
      <c r="C25" s="21" t="s">
        <v>216</v>
      </c>
      <c r="D25" s="21" t="s">
        <v>217</v>
      </c>
      <c r="E25" s="21" t="s">
        <v>109</v>
      </c>
      <c r="F25" s="25" t="str">
        <f aca="false">IF($E25="","",IFERROR(INDEX(Requisitions!$B$2:$B$101,MATCH($E25,Requisitions!$A$2:$A$101,0)),"Unknown Req"))</f>
        <v>Cloud Architect</v>
      </c>
      <c r="G25" s="25" t="str">
        <f aca="false">IF($E25="","",IFERROR(INDEX(Requisitions!$D$2:$D$101,MATCH($E25,Requisitions!$A$2:$A$101,0)),""))</f>
        <v>K. Menon</v>
      </c>
      <c r="H25" s="21" t="s">
        <v>143</v>
      </c>
      <c r="I25" s="21" t="s">
        <v>102</v>
      </c>
      <c r="J25" s="22" t="n">
        <v>46305</v>
      </c>
      <c r="K25" s="21" t="s">
        <v>48</v>
      </c>
      <c r="L25" s="22" t="n">
        <v>46310</v>
      </c>
      <c r="M25" s="25" t="str">
        <f aca="false">IF($K25="","",IFERROR(INDEX(Lists!$D$4:$D$14,MATCH($K25,Lists!$A$4:$A$14,0)),"Check stage"))</f>
        <v>Lost</v>
      </c>
      <c r="N25" s="21" t="s">
        <v>40</v>
      </c>
      <c r="O25" s="21" t="n">
        <v>11.7</v>
      </c>
      <c r="P25" s="26" t="n">
        <v>17.8</v>
      </c>
      <c r="Q25" s="26" t="n">
        <v>23</v>
      </c>
      <c r="R25" s="21" t="n">
        <v>30</v>
      </c>
      <c r="S25" s="21" t="n">
        <v>4</v>
      </c>
      <c r="T25" s="22"/>
      <c r="U25" s="22"/>
      <c r="V25" s="24" t="n">
        <f aca="false">IF(OR(N($P25)=0,$Q25=""),"",$Q25/$P25-1)</f>
        <v>0.292134831460674</v>
      </c>
      <c r="W25" s="25" t="n">
        <f aca="true">IF($J25="","",IF($M25="Active",TODAY(),IF($U25&lt;&gt;"",$U25,IF($L25&lt;&gt;"",$L25,TODAY())))-$J25)</f>
        <v>5</v>
      </c>
      <c r="X25" s="25" t="str">
        <f aca="true">IF(OR($L25="",$M25&lt;&gt;"Active"),"",TODAY()-$L25)</f>
        <v/>
      </c>
      <c r="Y25" s="25" t="str">
        <f aca="false">IF($M25&lt;&gt;"Active","",INDEX(Lists!$C$4:$C$14,MATCH($K25,Lists!$A$4:$A$14,0)))</f>
        <v/>
      </c>
      <c r="Z25" s="25" t="str">
        <f aca="false">IF($B25="","",IF($M25&lt;&gt;"Active","Closed",IF($X25="","",IF($X25&gt;$Y25,"BREACH","On Track"))))</f>
        <v>Closed</v>
      </c>
      <c r="AA25" s="25" t="str">
        <f aca="false">IF($K25="","",IFERROR(INDEX(Lists!$E$4:$E$14,MATCH($K25,Lists!$A$4:$A$14,0)),""))</f>
        <v>Send regret email</v>
      </c>
      <c r="AB25" s="27" t="str">
        <f aca="false">IF($U25&lt;&gt;"",$U25,IF(OR($T25="",$M25&lt;&gt;"Active"),"",$T25+N($R25)))</f>
        <v/>
      </c>
      <c r="AC25" s="25" t="str">
        <f aca="false">IF(OR($T25="",$J25=""),"",$T25-$J25)</f>
        <v/>
      </c>
      <c r="AD25" s="25" t="str">
        <f aca="false">IF(AND($K25="Joined",$U25&lt;&gt;"",$J25&lt;&gt;""),$U25-$J25,"")</f>
        <v/>
      </c>
      <c r="AE25" s="25" t="n">
        <f aca="false">IF($K25="","",IF(OR($K25="Rejected",$K25="Withdrawn"),IFERROR(INDEX(Lists!$B$4:$B$14,MATCH($N25,Lists!$A$4:$A$14,0)),1),IFERROR(INDEX(Lists!$B$4:$B$14,MATCH($K25,Lists!$A$4:$A$14,0)),0)))</f>
        <v>1</v>
      </c>
    </row>
    <row r="26" customFormat="false" ht="15" hidden="false" customHeight="false" outlineLevel="0" collapsed="false">
      <c r="A26" s="25" t="str">
        <f aca="false">IF($B26="","","C-"&amp;TEXT(ROW()-1,"0000"))</f>
        <v>C-0025</v>
      </c>
      <c r="B26" s="21" t="s">
        <v>218</v>
      </c>
      <c r="C26" s="21" t="s">
        <v>219</v>
      </c>
      <c r="D26" s="21" t="s">
        <v>220</v>
      </c>
      <c r="E26" s="21" t="s">
        <v>80</v>
      </c>
      <c r="F26" s="25" t="str">
        <f aca="false">IF($E26="","",IFERROR(INDEX(Requisitions!$B$2:$B$101,MATCH($E26,Requisitions!$A$2:$A$101,0)),"Unknown Req"))</f>
        <v>QA Automation Engineer (Python)</v>
      </c>
      <c r="G26" s="25" t="str">
        <f aca="false">IF($E26="","",IFERROR(INDEX(Requisitions!$D$2:$D$101,MATCH($E26,Requisitions!$A$2:$A$101,0)),""))</f>
        <v>S. Raman</v>
      </c>
      <c r="H26" s="21" t="s">
        <v>143</v>
      </c>
      <c r="I26" s="21" t="s">
        <v>86</v>
      </c>
      <c r="J26" s="22" t="n">
        <v>46176</v>
      </c>
      <c r="K26" s="21" t="s">
        <v>42</v>
      </c>
      <c r="L26" s="22" t="n">
        <v>46305</v>
      </c>
      <c r="M26" s="25" t="str">
        <f aca="false">IF($K26="","",IFERROR(INDEX(Lists!$D$4:$D$14,MATCH($K26,Lists!$A$4:$A$14,0)),"Check stage"))</f>
        <v>Active</v>
      </c>
      <c r="N26" s="21"/>
      <c r="O26" s="21" t="n">
        <v>1.8</v>
      </c>
      <c r="P26" s="26" t="n">
        <v>9.3</v>
      </c>
      <c r="Q26" s="26" t="n">
        <v>11.8</v>
      </c>
      <c r="R26" s="21" t="n">
        <v>30</v>
      </c>
      <c r="S26" s="21" t="n">
        <v>3</v>
      </c>
      <c r="T26" s="22"/>
      <c r="U26" s="22"/>
      <c r="V26" s="24" t="n">
        <f aca="false">IF(OR(N($P26)=0,$Q26=""),"",$Q26/$P26-1)</f>
        <v>0.268817204301075</v>
      </c>
      <c r="W26" s="25" t="n">
        <f aca="true">IF($J26="","",IF($M26="Active",TODAY(),IF($U26&lt;&gt;"",$U26,IF($L26&lt;&gt;"",$L26,TODAY())))-$J26)</f>
        <v>134</v>
      </c>
      <c r="X26" s="25" t="n">
        <f aca="true">IF(OR($L26="",$M26&lt;&gt;"Active"),"",TODAY()-$L26)</f>
        <v>5</v>
      </c>
      <c r="Y26" s="25" t="n">
        <f aca="false">IF($M26&lt;&gt;"Active","",INDEX(Lists!$C$4:$C$14,MATCH($K26,Lists!$A$4:$A$14,0)))</f>
        <v>5</v>
      </c>
      <c r="Z26" s="25" t="str">
        <f aca="false">IF($B26="","",IF($M26&lt;&gt;"Active","Closed",IF($X26="","",IF($X26&gt;$Y26,"BREACH","On Track"))))</f>
        <v>On Track</v>
      </c>
      <c r="AA26" s="25" t="str">
        <f aca="false">IF($K26="","",IFERROR(INDEX(Lists!$E$4:$E$14,MATCH($K26,Lists!$A$4:$A$14,0)),""))</f>
        <v>Schedule / collect Tech R1 feedback</v>
      </c>
      <c r="AB26" s="27" t="str">
        <f aca="false">IF($U26&lt;&gt;"",$U26,IF(OR($T26="",$M26&lt;&gt;"Active"),"",$T26+N($R26)))</f>
        <v/>
      </c>
      <c r="AC26" s="25" t="str">
        <f aca="false">IF(OR($T26="",$J26=""),"",$T26-$J26)</f>
        <v/>
      </c>
      <c r="AD26" s="25" t="str">
        <f aca="false">IF(AND($K26="Joined",$U26&lt;&gt;"",$J26&lt;&gt;""),$U26-$J26,"")</f>
        <v/>
      </c>
      <c r="AE26" s="25" t="n">
        <f aca="false">IF($K26="","",IF(OR($K26="Rejected",$K26="Withdrawn"),IFERROR(INDEX(Lists!$B$4:$B$14,MATCH($N26,Lists!$A$4:$A$14,0)),1),IFERROR(INDEX(Lists!$B$4:$B$14,MATCH($K26,Lists!$A$4:$A$14,0)),0)))</f>
        <v>3</v>
      </c>
    </row>
    <row r="27" customFormat="false" ht="15" hidden="false" customHeight="false" outlineLevel="0" collapsed="false">
      <c r="A27" s="25" t="str">
        <f aca="false">IF($B27="","","C-"&amp;TEXT(ROW()-1,"0000"))</f>
        <v>C-0026</v>
      </c>
      <c r="B27" s="21" t="s">
        <v>221</v>
      </c>
      <c r="C27" s="21" t="s">
        <v>222</v>
      </c>
      <c r="D27" s="21" t="s">
        <v>223</v>
      </c>
      <c r="E27" s="21" t="s">
        <v>87</v>
      </c>
      <c r="F27" s="25" t="str">
        <f aca="false">IF($E27="","",IFERROR(INDEX(Requisitions!$B$2:$B$101,MATCH($E27,Requisitions!$A$2:$A$101,0)),"Unknown Req"))</f>
        <v>Senior SDET</v>
      </c>
      <c r="G27" s="25" t="str">
        <f aca="false">IF($E27="","",IFERROR(INDEX(Requisitions!$D$2:$D$101,MATCH($E27,Requisitions!$A$2:$A$101,0)),""))</f>
        <v>M. Iyer</v>
      </c>
      <c r="H27" s="21" t="s">
        <v>147</v>
      </c>
      <c r="I27" s="21" t="s">
        <v>86</v>
      </c>
      <c r="J27" s="22" t="n">
        <v>46243</v>
      </c>
      <c r="K27" s="21" t="s">
        <v>45</v>
      </c>
      <c r="L27" s="22" t="n">
        <v>46277</v>
      </c>
      <c r="M27" s="25" t="str">
        <f aca="false">IF($K27="","",IFERROR(INDEX(Lists!$D$4:$D$14,MATCH($K27,Lists!$A$4:$A$14,0)),"Check stage"))</f>
        <v>Active</v>
      </c>
      <c r="N27" s="21"/>
      <c r="O27" s="21" t="n">
        <v>1.2</v>
      </c>
      <c r="P27" s="26" t="n">
        <v>17.9</v>
      </c>
      <c r="Q27" s="26" t="n">
        <v>26.4</v>
      </c>
      <c r="R27" s="21" t="n">
        <v>90</v>
      </c>
      <c r="S27" s="21" t="n">
        <v>4</v>
      </c>
      <c r="T27" s="22" t="n">
        <v>46277</v>
      </c>
      <c r="U27" s="22"/>
      <c r="V27" s="24" t="n">
        <f aca="false">IF(OR(N($P27)=0,$Q27=""),"",$Q27/$P27-1)</f>
        <v>0.474860335195531</v>
      </c>
      <c r="W27" s="25" t="n">
        <f aca="true">IF($J27="","",IF($M27="Active",TODAY(),IF($U27&lt;&gt;"",$U27,IF($L27&lt;&gt;"",$L27,TODAY())))-$J27)</f>
        <v>67</v>
      </c>
      <c r="X27" s="25" t="n">
        <f aca="true">IF(OR($L27="",$M27&lt;&gt;"Active"),"",TODAY()-$L27)</f>
        <v>33</v>
      </c>
      <c r="Y27" s="25" t="n">
        <f aca="false">IF($M27&lt;&gt;"Active","",INDEX(Lists!$C$4:$C$14,MATCH($K27,Lists!$A$4:$A$14,0)))</f>
        <v>5</v>
      </c>
      <c r="Z27" s="25" t="str">
        <f aca="false">IF($B27="","",IF($M27&lt;&gt;"Active","Closed",IF($X27="","",IF($X27&gt;$Y27,"BREACH","On Track"))))</f>
        <v>BREACH</v>
      </c>
      <c r="AA27" s="25" t="str">
        <f aca="false">IF($K27="","",IFERROR(INDEX(Lists!$E$4:$E$14,MATCH($K27,Lists!$A$4:$A$14,0)),""))</f>
        <v>Follow up on offer acceptance</v>
      </c>
      <c r="AB27" s="27" t="n">
        <f aca="false">IF($U27&lt;&gt;"",$U27,IF(OR($T27="",$M27&lt;&gt;"Active"),"",$T27+N($R27)))</f>
        <v>46367</v>
      </c>
      <c r="AC27" s="25" t="n">
        <f aca="false">IF(OR($T27="",$J27=""),"",$T27-$J27)</f>
        <v>34</v>
      </c>
      <c r="AD27" s="25" t="str">
        <f aca="false">IF(AND($K27="Joined",$U27&lt;&gt;"",$J27&lt;&gt;""),$U27-$J27,"")</f>
        <v/>
      </c>
      <c r="AE27" s="25" t="n">
        <f aca="false">IF($K27="","",IF(OR($K27="Rejected",$K27="Withdrawn"),IFERROR(INDEX(Lists!$B$4:$B$14,MATCH($N27,Lists!$A$4:$A$14,0)),1),IFERROR(INDEX(Lists!$B$4:$B$14,MATCH($K27,Lists!$A$4:$A$14,0)),0)))</f>
        <v>6</v>
      </c>
    </row>
    <row r="28" customFormat="false" ht="15" hidden="false" customHeight="false" outlineLevel="0" collapsed="false">
      <c r="A28" s="25" t="str">
        <f aca="false">IF($B28="","","C-"&amp;TEXT(ROW()-1,"0000"))</f>
        <v>C-0027</v>
      </c>
      <c r="B28" s="21" t="s">
        <v>224</v>
      </c>
      <c r="C28" s="21" t="s">
        <v>225</v>
      </c>
      <c r="D28" s="21" t="s">
        <v>226</v>
      </c>
      <c r="E28" s="21" t="s">
        <v>91</v>
      </c>
      <c r="F28" s="25" t="str">
        <f aca="false">IF($E28="","",IFERROR(INDEX(Requisitions!$B$2:$B$101,MATCH($E28,Requisitions!$A$2:$A$101,0)),"Unknown Req"))</f>
        <v>Python Backend Developer</v>
      </c>
      <c r="G28" s="25" t="str">
        <f aca="false">IF($E28="","",IFERROR(INDEX(Requisitions!$D$2:$D$101,MATCH($E28,Requisitions!$A$2:$A$101,0)),""))</f>
        <v>A. Kumar</v>
      </c>
      <c r="H28" s="21" t="s">
        <v>151</v>
      </c>
      <c r="I28" s="21" t="s">
        <v>96</v>
      </c>
      <c r="J28" s="22" t="n">
        <v>46243</v>
      </c>
      <c r="K28" s="21" t="s">
        <v>23</v>
      </c>
      <c r="L28" s="22" t="n">
        <v>46295</v>
      </c>
      <c r="M28" s="25" t="str">
        <f aca="false">IF($K28="","",IFERROR(INDEX(Lists!$D$4:$D$14,MATCH($K28,Lists!$A$4:$A$14,0)),"Check stage"))</f>
        <v>Hired</v>
      </c>
      <c r="N28" s="21"/>
      <c r="O28" s="21" t="n">
        <v>5.2</v>
      </c>
      <c r="P28" s="26" t="n">
        <v>4.1</v>
      </c>
      <c r="Q28" s="26" t="n">
        <v>6</v>
      </c>
      <c r="R28" s="21" t="n">
        <v>30</v>
      </c>
      <c r="S28" s="21" t="n">
        <v>4</v>
      </c>
      <c r="T28" s="22" t="n">
        <v>46265</v>
      </c>
      <c r="U28" s="22" t="n">
        <v>46295</v>
      </c>
      <c r="V28" s="24" t="n">
        <f aca="false">IF(OR(N($P28)=0,$Q28=""),"",$Q28/$P28-1)</f>
        <v>0.463414634146342</v>
      </c>
      <c r="W28" s="25" t="n">
        <f aca="true">IF($J28="","",IF($M28="Active",TODAY(),IF($U28&lt;&gt;"",$U28,IF($L28&lt;&gt;"",$L28,TODAY())))-$J28)</f>
        <v>52</v>
      </c>
      <c r="X28" s="25" t="str">
        <f aca="true">IF(OR($L28="",$M28&lt;&gt;"Active"),"",TODAY()-$L28)</f>
        <v/>
      </c>
      <c r="Y28" s="25" t="str">
        <f aca="false">IF($M28&lt;&gt;"Active","",INDEX(Lists!$C$4:$C$14,MATCH($K28,Lists!$A$4:$A$14,0)))</f>
        <v/>
      </c>
      <c r="Z28" s="25" t="str">
        <f aca="false">IF($B28="","",IF($M28&lt;&gt;"Active","Closed",IF($X28="","",IF($X28&gt;$Y28,"BREACH","On Track"))))</f>
        <v>Closed</v>
      </c>
      <c r="AA28" s="25" t="str">
        <f aca="false">IF($K28="","",IFERROR(INDEX(Lists!$E$4:$E$14,MATCH($K28,Lists!$A$4:$A$14,0)),""))</f>
        <v>Onboarding complete</v>
      </c>
      <c r="AB28" s="27" t="n">
        <f aca="false">IF($U28&lt;&gt;"",$U28,IF(OR($T28="",$M28&lt;&gt;"Active"),"",$T28+N($R28)))</f>
        <v>46295</v>
      </c>
      <c r="AC28" s="25" t="n">
        <f aca="false">IF(OR($T28="",$J28=""),"",$T28-$J28)</f>
        <v>22</v>
      </c>
      <c r="AD28" s="25" t="n">
        <f aca="false">IF(AND($K28="Joined",$U28&lt;&gt;"",$J28&lt;&gt;""),$U28-$J28,"")</f>
        <v>52</v>
      </c>
      <c r="AE28" s="25" t="n">
        <f aca="false">IF($K28="","",IF(OR($K28="Rejected",$K28="Withdrawn"),IFERROR(INDEX(Lists!$B$4:$B$14,MATCH($N28,Lists!$A$4:$A$14,0)),1),IFERROR(INDEX(Lists!$B$4:$B$14,MATCH($K28,Lists!$A$4:$A$14,0)),0)))</f>
        <v>8</v>
      </c>
    </row>
    <row r="29" customFormat="false" ht="15" hidden="false" customHeight="false" outlineLevel="0" collapsed="false">
      <c r="A29" s="25" t="str">
        <f aca="false">IF($B29="","","C-"&amp;TEXT(ROW()-1,"0000"))</f>
        <v>C-0028</v>
      </c>
      <c r="B29" s="21" t="s">
        <v>227</v>
      </c>
      <c r="C29" s="21" t="s">
        <v>228</v>
      </c>
      <c r="D29" s="21" t="s">
        <v>229</v>
      </c>
      <c r="E29" s="21" t="s">
        <v>97</v>
      </c>
      <c r="F29" s="25" t="str">
        <f aca="false">IF($E29="","",IFERROR(INDEX(Requisitions!$B$2:$B$101,MATCH($E29,Requisitions!$A$2:$A$101,0)),"Unknown Req"))</f>
        <v>DevOps Engineer</v>
      </c>
      <c r="G29" s="25" t="str">
        <f aca="false">IF($E29="","",IFERROR(INDEX(Requisitions!$D$2:$D$101,MATCH($E29,Requisitions!$A$2:$A$101,0)),""))</f>
        <v>R. Nair</v>
      </c>
      <c r="H29" s="21" t="s">
        <v>151</v>
      </c>
      <c r="I29" s="21" t="s">
        <v>102</v>
      </c>
      <c r="J29" s="22" t="n">
        <v>46273</v>
      </c>
      <c r="K29" s="21" t="s">
        <v>47</v>
      </c>
      <c r="L29" s="22" t="n">
        <v>46308</v>
      </c>
      <c r="M29" s="25" t="str">
        <f aca="false">IF($K29="","",IFERROR(INDEX(Lists!$D$4:$D$14,MATCH($K29,Lists!$A$4:$A$14,0)),"Check stage"))</f>
        <v>Lost</v>
      </c>
      <c r="N29" s="21"/>
      <c r="O29" s="21" t="n">
        <v>11</v>
      </c>
      <c r="P29" s="26" t="n">
        <v>15.7</v>
      </c>
      <c r="Q29" s="26" t="n">
        <v>23</v>
      </c>
      <c r="R29" s="21" t="n">
        <v>15</v>
      </c>
      <c r="S29" s="21" t="n">
        <v>3</v>
      </c>
      <c r="T29" s="22" t="n">
        <v>46308</v>
      </c>
      <c r="U29" s="22"/>
      <c r="V29" s="24" t="n">
        <f aca="false">IF(OR(N($P29)=0,$Q29=""),"",$Q29/$P29-1)</f>
        <v>0.464968152866242</v>
      </c>
      <c r="W29" s="25" t="n">
        <f aca="true">IF($J29="","",IF($M29="Active",TODAY(),IF($U29&lt;&gt;"",$U29,IF($L29&lt;&gt;"",$L29,TODAY())))-$J29)</f>
        <v>35</v>
      </c>
      <c r="X29" s="25" t="str">
        <f aca="true">IF(OR($L29="",$M29&lt;&gt;"Active"),"",TODAY()-$L29)</f>
        <v/>
      </c>
      <c r="Y29" s="25" t="str">
        <f aca="false">IF($M29&lt;&gt;"Active","",INDEX(Lists!$C$4:$C$14,MATCH($K29,Lists!$A$4:$A$14,0)))</f>
        <v/>
      </c>
      <c r="Z29" s="25" t="str">
        <f aca="false">IF($B29="","",IF($M29&lt;&gt;"Active","Closed",IF($X29="","",IF($X29&gt;$Y29,"BREACH","On Track"))))</f>
        <v>Closed</v>
      </c>
      <c r="AA29" s="25" t="str">
        <f aca="false">IF($K29="","",IFERROR(INDEX(Lists!$E$4:$E$14,MATCH($K29,Lists!$A$4:$A$14,0)),""))</f>
        <v>Close &amp; capture decline reason</v>
      </c>
      <c r="AB29" s="27" t="str">
        <f aca="false">IF($U29&lt;&gt;"",$U29,IF(OR($T29="",$M29&lt;&gt;"Active"),"",$T29+N($R29)))</f>
        <v/>
      </c>
      <c r="AC29" s="25" t="n">
        <f aca="false">IF(OR($T29="",$J29=""),"",$T29-$J29)</f>
        <v>35</v>
      </c>
      <c r="AD29" s="25" t="str">
        <f aca="false">IF(AND($K29="Joined",$U29&lt;&gt;"",$J29&lt;&gt;""),$U29-$J29,"")</f>
        <v/>
      </c>
      <c r="AE29" s="25" t="n">
        <f aca="false">IF($K29="","",IF(OR($K29="Rejected",$K29="Withdrawn"),IFERROR(INDEX(Lists!$B$4:$B$14,MATCH($N29,Lists!$A$4:$A$14,0)),1),IFERROR(INDEX(Lists!$B$4:$B$14,MATCH($K29,Lists!$A$4:$A$14,0)),0)))</f>
        <v>6</v>
      </c>
    </row>
    <row r="30" customFormat="false" ht="15" hidden="false" customHeight="false" outlineLevel="0" collapsed="false">
      <c r="A30" s="25" t="str">
        <f aca="false">IF($B30="","","C-"&amp;TEXT(ROW()-1,"0000"))</f>
        <v>C-0029</v>
      </c>
      <c r="B30" s="21" t="s">
        <v>230</v>
      </c>
      <c r="C30" s="21" t="s">
        <v>231</v>
      </c>
      <c r="D30" s="21" t="s">
        <v>232</v>
      </c>
      <c r="E30" s="21" t="s">
        <v>103</v>
      </c>
      <c r="F30" s="25" t="str">
        <f aca="false">IF($E30="","",IFERROR(INDEX(Requisitions!$B$2:$B$101,MATCH($E30,Requisitions!$A$2:$A$101,0)),"Unknown Req"))</f>
        <v>Data Engineer</v>
      </c>
      <c r="G30" s="25" t="str">
        <f aca="false">IF($E30="","",IFERROR(INDEX(Requisitions!$D$2:$D$101,MATCH($E30,Requisitions!$A$2:$A$101,0)),""))</f>
        <v>P. Das</v>
      </c>
      <c r="H30" s="21" t="s">
        <v>147</v>
      </c>
      <c r="I30" s="21" t="s">
        <v>96</v>
      </c>
      <c r="J30" s="22" t="n">
        <v>46272</v>
      </c>
      <c r="K30" s="21" t="s">
        <v>23</v>
      </c>
      <c r="L30" s="22" t="n">
        <v>46309</v>
      </c>
      <c r="M30" s="25" t="str">
        <f aca="false">IF($K30="","",IFERROR(INDEX(Lists!$D$4:$D$14,MATCH($K30,Lists!$A$4:$A$14,0)),"Check stage"))</f>
        <v>Hired</v>
      </c>
      <c r="N30" s="21"/>
      <c r="O30" s="21" t="n">
        <v>3.6</v>
      </c>
      <c r="P30" s="26" t="n">
        <v>4.6</v>
      </c>
      <c r="Q30" s="26" t="n">
        <v>6.9</v>
      </c>
      <c r="R30" s="21" t="n">
        <v>15</v>
      </c>
      <c r="S30" s="21" t="n">
        <v>4</v>
      </c>
      <c r="T30" s="22" t="n">
        <v>46299</v>
      </c>
      <c r="U30" s="22" t="n">
        <v>46309</v>
      </c>
      <c r="V30" s="24" t="n">
        <f aca="false">IF(OR(N($P30)=0,$Q30=""),"",$Q30/$P30-1)</f>
        <v>0.5</v>
      </c>
      <c r="W30" s="25" t="n">
        <f aca="true">IF($J30="","",IF($M30="Active",TODAY(),IF($U30&lt;&gt;"",$U30,IF($L30&lt;&gt;"",$L30,TODAY())))-$J30)</f>
        <v>37</v>
      </c>
      <c r="X30" s="25" t="str">
        <f aca="true">IF(OR($L30="",$M30&lt;&gt;"Active"),"",TODAY()-$L30)</f>
        <v/>
      </c>
      <c r="Y30" s="25" t="str">
        <f aca="false">IF($M30&lt;&gt;"Active","",INDEX(Lists!$C$4:$C$14,MATCH($K30,Lists!$A$4:$A$14,0)))</f>
        <v/>
      </c>
      <c r="Z30" s="25" t="str">
        <f aca="false">IF($B30="","",IF($M30&lt;&gt;"Active","Closed",IF($X30="","",IF($X30&gt;$Y30,"BREACH","On Track"))))</f>
        <v>Closed</v>
      </c>
      <c r="AA30" s="25" t="str">
        <f aca="false">IF($K30="","",IFERROR(INDEX(Lists!$E$4:$E$14,MATCH($K30,Lists!$A$4:$A$14,0)),""))</f>
        <v>Onboarding complete</v>
      </c>
      <c r="AB30" s="27" t="n">
        <f aca="false">IF($U30&lt;&gt;"",$U30,IF(OR($T30="",$M30&lt;&gt;"Active"),"",$T30+N($R30)))</f>
        <v>46309</v>
      </c>
      <c r="AC30" s="25" t="n">
        <f aca="false">IF(OR($T30="",$J30=""),"",$T30-$J30)</f>
        <v>27</v>
      </c>
      <c r="AD30" s="25" t="n">
        <f aca="false">IF(AND($K30="Joined",$U30&lt;&gt;"",$J30&lt;&gt;""),$U30-$J30,"")</f>
        <v>37</v>
      </c>
      <c r="AE30" s="25" t="n">
        <f aca="false">IF($K30="","",IF(OR($K30="Rejected",$K30="Withdrawn"),IFERROR(INDEX(Lists!$B$4:$B$14,MATCH($N30,Lists!$A$4:$A$14,0)),1),IFERROR(INDEX(Lists!$B$4:$B$14,MATCH($K30,Lists!$A$4:$A$14,0)),0)))</f>
        <v>8</v>
      </c>
    </row>
    <row r="31" customFormat="false" ht="15" hidden="false" customHeight="false" outlineLevel="0" collapsed="false">
      <c r="A31" s="25" t="str">
        <f aca="false">IF($B31="","","C-"&amp;TEXT(ROW()-1,"0000"))</f>
        <v>C-0030</v>
      </c>
      <c r="B31" s="21" t="s">
        <v>233</v>
      </c>
      <c r="C31" s="21" t="s">
        <v>234</v>
      </c>
      <c r="D31" s="21" t="s">
        <v>235</v>
      </c>
      <c r="E31" s="21" t="s">
        <v>109</v>
      </c>
      <c r="F31" s="25" t="str">
        <f aca="false">IF($E31="","",IFERROR(INDEX(Requisitions!$B$2:$B$101,MATCH($E31,Requisitions!$A$2:$A$101,0)),"Unknown Req"))</f>
        <v>Cloud Architect</v>
      </c>
      <c r="G31" s="25" t="str">
        <f aca="false">IF($E31="","",IFERROR(INDEX(Requisitions!$D$2:$D$101,MATCH($E31,Requisitions!$A$2:$A$101,0)),""))</f>
        <v>K. Menon</v>
      </c>
      <c r="H31" s="21" t="s">
        <v>143</v>
      </c>
      <c r="I31" s="21" t="s">
        <v>102</v>
      </c>
      <c r="J31" s="22" t="n">
        <v>46305</v>
      </c>
      <c r="K31" s="21" t="s">
        <v>43</v>
      </c>
      <c r="L31" s="22" t="n">
        <v>46306</v>
      </c>
      <c r="M31" s="25" t="str">
        <f aca="false">IF($K31="","",IFERROR(INDEX(Lists!$D$4:$D$14,MATCH($K31,Lists!$A$4:$A$14,0)),"Check stage"))</f>
        <v>Active</v>
      </c>
      <c r="N31" s="21"/>
      <c r="O31" s="21" t="n">
        <v>6.4</v>
      </c>
      <c r="P31" s="26" t="n">
        <v>14.7</v>
      </c>
      <c r="Q31" s="26" t="n">
        <v>21.7</v>
      </c>
      <c r="R31" s="21" t="n">
        <v>30</v>
      </c>
      <c r="S31" s="21" t="n">
        <v>4</v>
      </c>
      <c r="T31" s="22"/>
      <c r="U31" s="22"/>
      <c r="V31" s="24" t="n">
        <f aca="false">IF(OR(N($P31)=0,$Q31=""),"",$Q31/$P31-1)</f>
        <v>0.476190476190476</v>
      </c>
      <c r="W31" s="25" t="n">
        <f aca="true">IF($J31="","",IF($M31="Active",TODAY(),IF($U31&lt;&gt;"",$U31,IF($L31&lt;&gt;"",$L31,TODAY())))-$J31)</f>
        <v>5</v>
      </c>
      <c r="X31" s="25" t="n">
        <f aca="true">IF(OR($L31="",$M31&lt;&gt;"Active"),"",TODAY()-$L31)</f>
        <v>4</v>
      </c>
      <c r="Y31" s="25" t="n">
        <f aca="false">IF($M31&lt;&gt;"Active","",INDEX(Lists!$C$4:$C$14,MATCH($K31,Lists!$A$4:$A$14,0)))</f>
        <v>5</v>
      </c>
      <c r="Z31" s="25" t="str">
        <f aca="false">IF($B31="","",IF($M31&lt;&gt;"Active","Closed",IF($X31="","",IF($X31&gt;$Y31,"BREACH","On Track"))))</f>
        <v>On Track</v>
      </c>
      <c r="AA31" s="25" t="str">
        <f aca="false">IF($K31="","",IFERROR(INDEX(Lists!$E$4:$E$14,MATCH($K31,Lists!$A$4:$A$14,0)),""))</f>
        <v>Schedule / collect Tech R2 feedback</v>
      </c>
      <c r="AB31" s="27" t="str">
        <f aca="false">IF($U31&lt;&gt;"",$U31,IF(OR($T31="",$M31&lt;&gt;"Active"),"",$T31+N($R31)))</f>
        <v/>
      </c>
      <c r="AC31" s="25" t="str">
        <f aca="false">IF(OR($T31="",$J31=""),"",$T31-$J31)</f>
        <v/>
      </c>
      <c r="AD31" s="25" t="str">
        <f aca="false">IF(AND($K31="Joined",$U31&lt;&gt;"",$J31&lt;&gt;""),$U31-$J31,"")</f>
        <v/>
      </c>
      <c r="AE31" s="25" t="n">
        <f aca="false">IF($K31="","",IF(OR($K31="Rejected",$K31="Withdrawn"),IFERROR(INDEX(Lists!$B$4:$B$14,MATCH($N31,Lists!$A$4:$A$14,0)),1),IFERROR(INDEX(Lists!$B$4:$B$14,MATCH($K31,Lists!$A$4:$A$14,0)),0)))</f>
        <v>4</v>
      </c>
    </row>
    <row r="32" customFormat="false" ht="15" hidden="false" customHeight="false" outlineLevel="0" collapsed="false">
      <c r="A32" s="25" t="str">
        <f aca="false">IF($B32="","","C-"&amp;TEXT(ROW()-1,"0000"))</f>
        <v>C-0031</v>
      </c>
      <c r="B32" s="21" t="s">
        <v>236</v>
      </c>
      <c r="C32" s="21" t="s">
        <v>237</v>
      </c>
      <c r="D32" s="21" t="s">
        <v>238</v>
      </c>
      <c r="E32" s="21" t="s">
        <v>80</v>
      </c>
      <c r="F32" s="25" t="str">
        <f aca="false">IF($E32="","",IFERROR(INDEX(Requisitions!$B$2:$B$101,MATCH($E32,Requisitions!$A$2:$A$101,0)),"Unknown Req"))</f>
        <v>QA Automation Engineer (Python)</v>
      </c>
      <c r="G32" s="25" t="str">
        <f aca="false">IF($E32="","",IFERROR(INDEX(Requisitions!$D$2:$D$101,MATCH($E32,Requisitions!$A$2:$A$101,0)),""))</f>
        <v>S. Raman</v>
      </c>
      <c r="H32" s="21" t="s">
        <v>196</v>
      </c>
      <c r="I32" s="21" t="s">
        <v>86</v>
      </c>
      <c r="J32" s="22" t="n">
        <v>46203</v>
      </c>
      <c r="K32" s="21" t="s">
        <v>46</v>
      </c>
      <c r="L32" s="22" t="n">
        <v>46226</v>
      </c>
      <c r="M32" s="25" t="str">
        <f aca="false">IF($K32="","",IFERROR(INDEX(Lists!$D$4:$D$14,MATCH($K32,Lists!$A$4:$A$14,0)),"Check stage"))</f>
        <v>Active</v>
      </c>
      <c r="N32" s="21"/>
      <c r="O32" s="21" t="n">
        <v>9.6</v>
      </c>
      <c r="P32" s="26" t="n">
        <v>10.6</v>
      </c>
      <c r="Q32" s="26" t="n">
        <v>15</v>
      </c>
      <c r="R32" s="21" t="n">
        <v>90</v>
      </c>
      <c r="S32" s="21" t="n">
        <v>2</v>
      </c>
      <c r="T32" s="22" t="n">
        <v>46223</v>
      </c>
      <c r="U32" s="22"/>
      <c r="V32" s="24" t="n">
        <f aca="false">IF(OR(N($P32)=0,$Q32=""),"",$Q32/$P32-1)</f>
        <v>0.415094339622642</v>
      </c>
      <c r="W32" s="25" t="n">
        <f aca="true">IF($J32="","",IF($M32="Active",TODAY(),IF($U32&lt;&gt;"",$U32,IF($L32&lt;&gt;"",$L32,TODAY())))-$J32)</f>
        <v>107</v>
      </c>
      <c r="X32" s="25" t="n">
        <f aca="true">IF(OR($L32="",$M32&lt;&gt;"Active"),"",TODAY()-$L32)</f>
        <v>84</v>
      </c>
      <c r="Y32" s="25" t="n">
        <f aca="false">IF($M32&lt;&gt;"Active","",INDEX(Lists!$C$4:$C$14,MATCH($K32,Lists!$A$4:$A$14,0)))</f>
        <v>30</v>
      </c>
      <c r="Z32" s="25" t="str">
        <f aca="false">IF($B32="","",IF($M32&lt;&gt;"Active","Closed",IF($X32="","",IF($X32&gt;$Y32,"BREACH","On Track"))))</f>
        <v>BREACH</v>
      </c>
      <c r="AA32" s="25" t="str">
        <f aca="false">IF($K32="","",IFERROR(INDEX(Lists!$E$4:$E$14,MATCH($K32,Lists!$A$4:$A$14,0)),""))</f>
        <v>Pre-joining engagement &amp; docs</v>
      </c>
      <c r="AB32" s="27" t="n">
        <f aca="false">IF($U32&lt;&gt;"",$U32,IF(OR($T32="",$M32&lt;&gt;"Active"),"",$T32+N($R32)))</f>
        <v>46313</v>
      </c>
      <c r="AC32" s="25" t="n">
        <f aca="false">IF(OR($T32="",$J32=""),"",$T32-$J32)</f>
        <v>20</v>
      </c>
      <c r="AD32" s="25" t="str">
        <f aca="false">IF(AND($K32="Joined",$U32&lt;&gt;"",$J32&lt;&gt;""),$U32-$J32,"")</f>
        <v/>
      </c>
      <c r="AE32" s="25" t="n">
        <f aca="false">IF($K32="","",IF(OR($K32="Rejected",$K32="Withdrawn"),IFERROR(INDEX(Lists!$B$4:$B$14,MATCH($N32,Lists!$A$4:$A$14,0)),1),IFERROR(INDEX(Lists!$B$4:$B$14,MATCH($K32,Lists!$A$4:$A$14,0)),0)))</f>
        <v>7</v>
      </c>
    </row>
    <row r="33" customFormat="false" ht="15" hidden="false" customHeight="false" outlineLevel="0" collapsed="false">
      <c r="A33" s="25" t="str">
        <f aca="false">IF($B33="","","C-"&amp;TEXT(ROW()-1,"0000"))</f>
        <v>C-0032</v>
      </c>
      <c r="B33" s="21" t="s">
        <v>239</v>
      </c>
      <c r="C33" s="21" t="s">
        <v>240</v>
      </c>
      <c r="D33" s="21" t="s">
        <v>241</v>
      </c>
      <c r="E33" s="21" t="s">
        <v>87</v>
      </c>
      <c r="F33" s="25" t="str">
        <f aca="false">IF($E33="","",IFERROR(INDEX(Requisitions!$B$2:$B$101,MATCH($E33,Requisitions!$A$2:$A$101,0)),"Unknown Req"))</f>
        <v>Senior SDET</v>
      </c>
      <c r="G33" s="25" t="str">
        <f aca="false">IF($E33="","",IFERROR(INDEX(Requisitions!$D$2:$D$101,MATCH($E33,Requisitions!$A$2:$A$101,0)),""))</f>
        <v>M. Iyer</v>
      </c>
      <c r="H33" s="21" t="s">
        <v>143</v>
      </c>
      <c r="I33" s="21" t="s">
        <v>86</v>
      </c>
      <c r="J33" s="22" t="n">
        <v>46230</v>
      </c>
      <c r="K33" s="21" t="s">
        <v>41</v>
      </c>
      <c r="L33" s="22" t="n">
        <v>46309</v>
      </c>
      <c r="M33" s="25" t="str">
        <f aca="false">IF($K33="","",IFERROR(INDEX(Lists!$D$4:$D$14,MATCH($K33,Lists!$A$4:$A$14,0)),"Check stage"))</f>
        <v>Active</v>
      </c>
      <c r="N33" s="21"/>
      <c r="O33" s="21" t="n">
        <v>13.9</v>
      </c>
      <c r="P33" s="26" t="n">
        <v>22.5</v>
      </c>
      <c r="Q33" s="26" t="n">
        <v>34.6</v>
      </c>
      <c r="R33" s="21" t="n">
        <v>30</v>
      </c>
      <c r="S33" s="21"/>
      <c r="T33" s="22"/>
      <c r="U33" s="22"/>
      <c r="V33" s="24" t="n">
        <f aca="false">IF(OR(N($P33)=0,$Q33=""),"",$Q33/$P33-1)</f>
        <v>0.537777777777778</v>
      </c>
      <c r="W33" s="25" t="n">
        <f aca="true">IF($J33="","",IF($M33="Active",TODAY(),IF($U33&lt;&gt;"",$U33,IF($L33&lt;&gt;"",$L33,TODAY())))-$J33)</f>
        <v>80</v>
      </c>
      <c r="X33" s="25" t="n">
        <f aca="true">IF(OR($L33="",$M33&lt;&gt;"Active"),"",TODAY()-$L33)</f>
        <v>1</v>
      </c>
      <c r="Y33" s="25" t="n">
        <f aca="false">IF($M33&lt;&gt;"Active","",INDEX(Lists!$C$4:$C$14,MATCH($K33,Lists!$A$4:$A$14,0)))</f>
        <v>3</v>
      </c>
      <c r="Z33" s="25" t="str">
        <f aca="false">IF($B33="","",IF($M33&lt;&gt;"Active","Closed",IF($X33="","",IF($X33&gt;$Y33,"BREACH","On Track"))))</f>
        <v>On Track</v>
      </c>
      <c r="AA33" s="25" t="str">
        <f aca="false">IF($K33="","",IFERROR(INDEX(Lists!$E$4:$E$14,MATCH($K33,Lists!$A$4:$A$14,0)),""))</f>
        <v>Complete phone screen</v>
      </c>
      <c r="AB33" s="27" t="str">
        <f aca="false">IF($U33&lt;&gt;"",$U33,IF(OR($T33="",$M33&lt;&gt;"Active"),"",$T33+N($R33)))</f>
        <v/>
      </c>
      <c r="AC33" s="25" t="str">
        <f aca="false">IF(OR($T33="",$J33=""),"",$T33-$J33)</f>
        <v/>
      </c>
      <c r="AD33" s="25" t="str">
        <f aca="false">IF(AND($K33="Joined",$U33&lt;&gt;"",$J33&lt;&gt;""),$U33-$J33,"")</f>
        <v/>
      </c>
      <c r="AE33" s="25" t="n">
        <f aca="false">IF($K33="","",IF(OR($K33="Rejected",$K33="Withdrawn"),IFERROR(INDEX(Lists!$B$4:$B$14,MATCH($N33,Lists!$A$4:$A$14,0)),1),IFERROR(INDEX(Lists!$B$4:$B$14,MATCH($K33,Lists!$A$4:$A$14,0)),0)))</f>
        <v>2</v>
      </c>
    </row>
    <row r="34" customFormat="false" ht="15" hidden="false" customHeight="false" outlineLevel="0" collapsed="false">
      <c r="A34" s="25" t="str">
        <f aca="false">IF($B34="","","C-"&amp;TEXT(ROW()-1,"0000"))</f>
        <v>C-0033</v>
      </c>
      <c r="B34" s="21" t="s">
        <v>242</v>
      </c>
      <c r="C34" s="21" t="s">
        <v>243</v>
      </c>
      <c r="D34" s="21" t="s">
        <v>244</v>
      </c>
      <c r="E34" s="21" t="s">
        <v>91</v>
      </c>
      <c r="F34" s="25" t="str">
        <f aca="false">IF($E34="","",IFERROR(INDEX(Requisitions!$B$2:$B$101,MATCH($E34,Requisitions!$A$2:$A$101,0)),"Unknown Req"))</f>
        <v>Python Backend Developer</v>
      </c>
      <c r="G34" s="25" t="str">
        <f aca="false">IF($E34="","",IFERROR(INDEX(Requisitions!$D$2:$D$101,MATCH($E34,Requisitions!$A$2:$A$101,0)),""))</f>
        <v>A. Kumar</v>
      </c>
      <c r="H34" s="21" t="s">
        <v>171</v>
      </c>
      <c r="I34" s="21" t="s">
        <v>96</v>
      </c>
      <c r="J34" s="22" t="n">
        <v>46234</v>
      </c>
      <c r="K34" s="21" t="s">
        <v>42</v>
      </c>
      <c r="L34" s="22" t="n">
        <v>46305</v>
      </c>
      <c r="M34" s="25" t="str">
        <f aca="false">IF($K34="","",IFERROR(INDEX(Lists!$D$4:$D$14,MATCH($K34,Lists!$A$4:$A$14,0)),"Check stage"))</f>
        <v>Active</v>
      </c>
      <c r="N34" s="21"/>
      <c r="O34" s="21" t="n">
        <v>2.2</v>
      </c>
      <c r="P34" s="26" t="n">
        <v>18.8</v>
      </c>
      <c r="Q34" s="26" t="n">
        <v>29.1</v>
      </c>
      <c r="R34" s="21" t="n">
        <v>90</v>
      </c>
      <c r="S34" s="21" t="n">
        <v>4</v>
      </c>
      <c r="T34" s="22"/>
      <c r="U34" s="22"/>
      <c r="V34" s="24" t="n">
        <f aca="false">IF(OR(N($P34)=0,$Q34=""),"",$Q34/$P34-1)</f>
        <v>0.547872340425532</v>
      </c>
      <c r="W34" s="25" t="n">
        <f aca="true">IF($J34="","",IF($M34="Active",TODAY(),IF($U34&lt;&gt;"",$U34,IF($L34&lt;&gt;"",$L34,TODAY())))-$J34)</f>
        <v>76</v>
      </c>
      <c r="X34" s="25" t="n">
        <f aca="true">IF(OR($L34="",$M34&lt;&gt;"Active"),"",TODAY()-$L34)</f>
        <v>5</v>
      </c>
      <c r="Y34" s="25" t="n">
        <f aca="false">IF($M34&lt;&gt;"Active","",INDEX(Lists!$C$4:$C$14,MATCH($K34,Lists!$A$4:$A$14,0)))</f>
        <v>5</v>
      </c>
      <c r="Z34" s="25" t="str">
        <f aca="false">IF($B34="","",IF($M34&lt;&gt;"Active","Closed",IF($X34="","",IF($X34&gt;$Y34,"BREACH","On Track"))))</f>
        <v>On Track</v>
      </c>
      <c r="AA34" s="25" t="str">
        <f aca="false">IF($K34="","",IFERROR(INDEX(Lists!$E$4:$E$14,MATCH($K34,Lists!$A$4:$A$14,0)),""))</f>
        <v>Schedule / collect Tech R1 feedback</v>
      </c>
      <c r="AB34" s="27" t="str">
        <f aca="false">IF($U34&lt;&gt;"",$U34,IF(OR($T34="",$M34&lt;&gt;"Active"),"",$T34+N($R34)))</f>
        <v/>
      </c>
      <c r="AC34" s="25" t="str">
        <f aca="false">IF(OR($T34="",$J34=""),"",$T34-$J34)</f>
        <v/>
      </c>
      <c r="AD34" s="25" t="str">
        <f aca="false">IF(AND($K34="Joined",$U34&lt;&gt;"",$J34&lt;&gt;""),$U34-$J34,"")</f>
        <v/>
      </c>
      <c r="AE34" s="25" t="n">
        <f aca="false">IF($K34="","",IF(OR($K34="Rejected",$K34="Withdrawn"),IFERROR(INDEX(Lists!$B$4:$B$14,MATCH($N34,Lists!$A$4:$A$14,0)),1),IFERROR(INDEX(Lists!$B$4:$B$14,MATCH($K34,Lists!$A$4:$A$14,0)),0)))</f>
        <v>3</v>
      </c>
    </row>
    <row r="35" customFormat="false" ht="15" hidden="false" customHeight="false" outlineLevel="0" collapsed="false">
      <c r="A35" s="25" t="str">
        <f aca="false">IF($B35="","","C-"&amp;TEXT(ROW()-1,"0000"))</f>
        <v>C-0034</v>
      </c>
      <c r="B35" s="21" t="s">
        <v>245</v>
      </c>
      <c r="C35" s="21" t="s">
        <v>246</v>
      </c>
      <c r="D35" s="21" t="s">
        <v>247</v>
      </c>
      <c r="E35" s="21" t="s">
        <v>97</v>
      </c>
      <c r="F35" s="25" t="str">
        <f aca="false">IF($E35="","",IFERROR(INDEX(Requisitions!$B$2:$B$101,MATCH($E35,Requisitions!$A$2:$A$101,0)),"Unknown Req"))</f>
        <v>DevOps Engineer</v>
      </c>
      <c r="G35" s="25" t="str">
        <f aca="false">IF($E35="","",IFERROR(INDEX(Requisitions!$D$2:$D$101,MATCH($E35,Requisitions!$A$2:$A$101,0)),""))</f>
        <v>R. Nair</v>
      </c>
      <c r="H35" s="21" t="s">
        <v>147</v>
      </c>
      <c r="I35" s="21" t="s">
        <v>102</v>
      </c>
      <c r="J35" s="22" t="n">
        <v>46241</v>
      </c>
      <c r="K35" s="21" t="s">
        <v>45</v>
      </c>
      <c r="L35" s="22" t="n">
        <v>46271</v>
      </c>
      <c r="M35" s="25" t="str">
        <f aca="false">IF($K35="","",IFERROR(INDEX(Lists!$D$4:$D$14,MATCH($K35,Lists!$A$4:$A$14,0)),"Check stage"))</f>
        <v>Active</v>
      </c>
      <c r="N35" s="21"/>
      <c r="O35" s="21" t="n">
        <v>13.5</v>
      </c>
      <c r="P35" s="26" t="n">
        <v>11.1</v>
      </c>
      <c r="Q35" s="26" t="n">
        <v>14.8</v>
      </c>
      <c r="R35" s="21" t="n">
        <v>15</v>
      </c>
      <c r="S35" s="21" t="n">
        <v>4</v>
      </c>
      <c r="T35" s="22" t="n">
        <v>46271</v>
      </c>
      <c r="U35" s="22"/>
      <c r="V35" s="24" t="n">
        <f aca="false">IF(OR(N($P35)=0,$Q35=""),"",$Q35/$P35-1)</f>
        <v>0.333333333333334</v>
      </c>
      <c r="W35" s="25" t="n">
        <f aca="true">IF($J35="","",IF($M35="Active",TODAY(),IF($U35&lt;&gt;"",$U35,IF($L35&lt;&gt;"",$L35,TODAY())))-$J35)</f>
        <v>69</v>
      </c>
      <c r="X35" s="25" t="n">
        <f aca="true">IF(OR($L35="",$M35&lt;&gt;"Active"),"",TODAY()-$L35)</f>
        <v>39</v>
      </c>
      <c r="Y35" s="25" t="n">
        <f aca="false">IF($M35&lt;&gt;"Active","",INDEX(Lists!$C$4:$C$14,MATCH($K35,Lists!$A$4:$A$14,0)))</f>
        <v>5</v>
      </c>
      <c r="Z35" s="25" t="str">
        <f aca="false">IF($B35="","",IF($M35&lt;&gt;"Active","Closed",IF($X35="","",IF($X35&gt;$Y35,"BREACH","On Track"))))</f>
        <v>BREACH</v>
      </c>
      <c r="AA35" s="25" t="str">
        <f aca="false">IF($K35="","",IFERROR(INDEX(Lists!$E$4:$E$14,MATCH($K35,Lists!$A$4:$A$14,0)),""))</f>
        <v>Follow up on offer acceptance</v>
      </c>
      <c r="AB35" s="27" t="n">
        <f aca="false">IF($U35&lt;&gt;"",$U35,IF(OR($T35="",$M35&lt;&gt;"Active"),"",$T35+N($R35)))</f>
        <v>46286</v>
      </c>
      <c r="AC35" s="25" t="n">
        <f aca="false">IF(OR($T35="",$J35=""),"",$T35-$J35)</f>
        <v>30</v>
      </c>
      <c r="AD35" s="25" t="str">
        <f aca="false">IF(AND($K35="Joined",$U35&lt;&gt;"",$J35&lt;&gt;""),$U35-$J35,"")</f>
        <v/>
      </c>
      <c r="AE35" s="25" t="n">
        <f aca="false">IF($K35="","",IF(OR($K35="Rejected",$K35="Withdrawn"),IFERROR(INDEX(Lists!$B$4:$B$14,MATCH($N35,Lists!$A$4:$A$14,0)),1),IFERROR(INDEX(Lists!$B$4:$B$14,MATCH($K35,Lists!$A$4:$A$14,0)),0)))</f>
        <v>6</v>
      </c>
    </row>
    <row r="36" customFormat="false" ht="15" hidden="false" customHeight="false" outlineLevel="0" collapsed="false">
      <c r="A36" s="25" t="str">
        <f aca="false">IF($B36="","","C-"&amp;TEXT(ROW()-1,"0000"))</f>
        <v>C-0035</v>
      </c>
      <c r="B36" s="21" t="s">
        <v>248</v>
      </c>
      <c r="C36" s="21" t="s">
        <v>249</v>
      </c>
      <c r="D36" s="21" t="s">
        <v>250</v>
      </c>
      <c r="E36" s="21" t="s">
        <v>103</v>
      </c>
      <c r="F36" s="25" t="str">
        <f aca="false">IF($E36="","",IFERROR(INDEX(Requisitions!$B$2:$B$101,MATCH($E36,Requisitions!$A$2:$A$101,0)),"Unknown Req"))</f>
        <v>Data Engineer</v>
      </c>
      <c r="G36" s="25" t="str">
        <f aca="false">IF($E36="","",IFERROR(INDEX(Requisitions!$D$2:$D$101,MATCH($E36,Requisitions!$A$2:$A$101,0)),""))</f>
        <v>P. Das</v>
      </c>
      <c r="H36" s="21" t="s">
        <v>143</v>
      </c>
      <c r="I36" s="21" t="s">
        <v>96</v>
      </c>
      <c r="J36" s="22" t="n">
        <v>46269</v>
      </c>
      <c r="K36" s="21" t="s">
        <v>41</v>
      </c>
      <c r="L36" s="22" t="n">
        <v>46306</v>
      </c>
      <c r="M36" s="25" t="str">
        <f aca="false">IF($K36="","",IFERROR(INDEX(Lists!$D$4:$D$14,MATCH($K36,Lists!$A$4:$A$14,0)),"Check stage"))</f>
        <v>Active</v>
      </c>
      <c r="N36" s="21"/>
      <c r="O36" s="21" t="n">
        <v>4.5</v>
      </c>
      <c r="P36" s="26" t="n">
        <v>24.4</v>
      </c>
      <c r="Q36" s="26" t="n">
        <v>29.1</v>
      </c>
      <c r="R36" s="21" t="n">
        <v>60</v>
      </c>
      <c r="S36" s="21"/>
      <c r="T36" s="22"/>
      <c r="U36" s="22"/>
      <c r="V36" s="24" t="n">
        <f aca="false">IF(OR(N($P36)=0,$Q36=""),"",$Q36/$P36-1)</f>
        <v>0.192622950819672</v>
      </c>
      <c r="W36" s="25" t="n">
        <f aca="true">IF($J36="","",IF($M36="Active",TODAY(),IF($U36&lt;&gt;"",$U36,IF($L36&lt;&gt;"",$L36,TODAY())))-$J36)</f>
        <v>41</v>
      </c>
      <c r="X36" s="25" t="n">
        <f aca="true">IF(OR($L36="",$M36&lt;&gt;"Active"),"",TODAY()-$L36)</f>
        <v>4</v>
      </c>
      <c r="Y36" s="25" t="n">
        <f aca="false">IF($M36&lt;&gt;"Active","",INDEX(Lists!$C$4:$C$14,MATCH($K36,Lists!$A$4:$A$14,0)))</f>
        <v>3</v>
      </c>
      <c r="Z36" s="25" t="str">
        <f aca="false">IF($B36="","",IF($M36&lt;&gt;"Active","Closed",IF($X36="","",IF($X36&gt;$Y36,"BREACH","On Track"))))</f>
        <v>BREACH</v>
      </c>
      <c r="AA36" s="25" t="str">
        <f aca="false">IF($K36="","",IFERROR(INDEX(Lists!$E$4:$E$14,MATCH($K36,Lists!$A$4:$A$14,0)),""))</f>
        <v>Complete phone screen</v>
      </c>
      <c r="AB36" s="27" t="str">
        <f aca="false">IF($U36&lt;&gt;"",$U36,IF(OR($T36="",$M36&lt;&gt;"Active"),"",$T36+N($R36)))</f>
        <v/>
      </c>
      <c r="AC36" s="25" t="str">
        <f aca="false">IF(OR($T36="",$J36=""),"",$T36-$J36)</f>
        <v/>
      </c>
      <c r="AD36" s="25" t="str">
        <f aca="false">IF(AND($K36="Joined",$U36&lt;&gt;"",$J36&lt;&gt;""),$U36-$J36,"")</f>
        <v/>
      </c>
      <c r="AE36" s="25" t="n">
        <f aca="false">IF($K36="","",IF(OR($K36="Rejected",$K36="Withdrawn"),IFERROR(INDEX(Lists!$B$4:$B$14,MATCH($N36,Lists!$A$4:$A$14,0)),1),IFERROR(INDEX(Lists!$B$4:$B$14,MATCH($K36,Lists!$A$4:$A$14,0)),0)))</f>
        <v>2</v>
      </c>
    </row>
    <row r="37" customFormat="false" ht="15" hidden="false" customHeight="false" outlineLevel="0" collapsed="false">
      <c r="A37" s="25" t="str">
        <f aca="false">IF($B37="","","C-"&amp;TEXT(ROW()-1,"0000"))</f>
        <v>C-0036</v>
      </c>
      <c r="B37" s="21" t="s">
        <v>251</v>
      </c>
      <c r="C37" s="21" t="s">
        <v>252</v>
      </c>
      <c r="D37" s="21" t="s">
        <v>253</v>
      </c>
      <c r="E37" s="21" t="s">
        <v>109</v>
      </c>
      <c r="F37" s="25" t="str">
        <f aca="false">IF($E37="","",IFERROR(INDEX(Requisitions!$B$2:$B$101,MATCH($E37,Requisitions!$A$2:$A$101,0)),"Unknown Req"))</f>
        <v>Cloud Architect</v>
      </c>
      <c r="G37" s="25" t="str">
        <f aca="false">IF($E37="","",IFERROR(INDEX(Requisitions!$D$2:$D$101,MATCH($E37,Requisitions!$A$2:$A$101,0)),""))</f>
        <v>K. Menon</v>
      </c>
      <c r="H37" s="21" t="s">
        <v>147</v>
      </c>
      <c r="I37" s="21" t="s">
        <v>102</v>
      </c>
      <c r="J37" s="22" t="n">
        <v>46305</v>
      </c>
      <c r="K37" s="21" t="s">
        <v>41</v>
      </c>
      <c r="L37" s="22" t="n">
        <v>46305</v>
      </c>
      <c r="M37" s="25" t="str">
        <f aca="false">IF($K37="","",IFERROR(INDEX(Lists!$D$4:$D$14,MATCH($K37,Lists!$A$4:$A$14,0)),"Check stage"))</f>
        <v>Active</v>
      </c>
      <c r="N37" s="21"/>
      <c r="O37" s="21" t="n">
        <v>8.4</v>
      </c>
      <c r="P37" s="26" t="n">
        <v>21.8</v>
      </c>
      <c r="Q37" s="26" t="n">
        <v>31</v>
      </c>
      <c r="R37" s="21" t="n">
        <v>60</v>
      </c>
      <c r="S37" s="21"/>
      <c r="T37" s="22"/>
      <c r="U37" s="22"/>
      <c r="V37" s="24" t="n">
        <f aca="false">IF(OR(N($P37)=0,$Q37=""),"",$Q37/$P37-1)</f>
        <v>0.422018348623853</v>
      </c>
      <c r="W37" s="25" t="n">
        <f aca="true">IF($J37="","",IF($M37="Active",TODAY(),IF($U37&lt;&gt;"",$U37,IF($L37&lt;&gt;"",$L37,TODAY())))-$J37)</f>
        <v>5</v>
      </c>
      <c r="X37" s="25" t="n">
        <f aca="true">IF(OR($L37="",$M37&lt;&gt;"Active"),"",TODAY()-$L37)</f>
        <v>5</v>
      </c>
      <c r="Y37" s="25" t="n">
        <f aca="false">IF($M37&lt;&gt;"Active","",INDEX(Lists!$C$4:$C$14,MATCH($K37,Lists!$A$4:$A$14,0)))</f>
        <v>3</v>
      </c>
      <c r="Z37" s="25" t="str">
        <f aca="false">IF($B37="","",IF($M37&lt;&gt;"Active","Closed",IF($X37="","",IF($X37&gt;$Y37,"BREACH","On Track"))))</f>
        <v>BREACH</v>
      </c>
      <c r="AA37" s="25" t="str">
        <f aca="false">IF($K37="","",IFERROR(INDEX(Lists!$E$4:$E$14,MATCH($K37,Lists!$A$4:$A$14,0)),""))</f>
        <v>Complete phone screen</v>
      </c>
      <c r="AB37" s="27" t="str">
        <f aca="false">IF($U37&lt;&gt;"",$U37,IF(OR($T37="",$M37&lt;&gt;"Active"),"",$T37+N($R37)))</f>
        <v/>
      </c>
      <c r="AC37" s="25" t="str">
        <f aca="false">IF(OR($T37="",$J37=""),"",$T37-$J37)</f>
        <v/>
      </c>
      <c r="AD37" s="25" t="str">
        <f aca="false">IF(AND($K37="Joined",$U37&lt;&gt;"",$J37&lt;&gt;""),$U37-$J37,"")</f>
        <v/>
      </c>
      <c r="AE37" s="25" t="n">
        <f aca="false">IF($K37="","",IF(OR($K37="Rejected",$K37="Withdrawn"),IFERROR(INDEX(Lists!$B$4:$B$14,MATCH($N37,Lists!$A$4:$A$14,0)),1),IFERROR(INDEX(Lists!$B$4:$B$14,MATCH($K37,Lists!$A$4:$A$14,0)),0)))</f>
        <v>2</v>
      </c>
    </row>
    <row r="38" customFormat="false" ht="15" hidden="false" customHeight="false" outlineLevel="0" collapsed="false">
      <c r="A38" s="25" t="str">
        <f aca="false">IF($B38="","","C-"&amp;TEXT(ROW()-1,"0000"))</f>
        <v>C-0037</v>
      </c>
      <c r="B38" s="21" t="s">
        <v>254</v>
      </c>
      <c r="C38" s="21" t="s">
        <v>255</v>
      </c>
      <c r="D38" s="21" t="s">
        <v>256</v>
      </c>
      <c r="E38" s="21" t="s">
        <v>80</v>
      </c>
      <c r="F38" s="25" t="str">
        <f aca="false">IF($E38="","",IFERROR(INDEX(Requisitions!$B$2:$B$101,MATCH($E38,Requisitions!$A$2:$A$101,0)),"Unknown Req"))</f>
        <v>QA Automation Engineer (Python)</v>
      </c>
      <c r="G38" s="25" t="str">
        <f aca="false">IF($E38="","",IFERROR(INDEX(Requisitions!$D$2:$D$101,MATCH($E38,Requisitions!$A$2:$A$101,0)),""))</f>
        <v>S. Raman</v>
      </c>
      <c r="H38" s="21" t="s">
        <v>171</v>
      </c>
      <c r="I38" s="21" t="s">
        <v>86</v>
      </c>
      <c r="J38" s="22" t="n">
        <v>46195</v>
      </c>
      <c r="K38" s="21" t="s">
        <v>49</v>
      </c>
      <c r="L38" s="22" t="n">
        <v>46205</v>
      </c>
      <c r="M38" s="25" t="str">
        <f aca="false">IF($K38="","",IFERROR(INDEX(Lists!$D$4:$D$14,MATCH($K38,Lists!$A$4:$A$14,0)),"Check stage"))</f>
        <v>Lost</v>
      </c>
      <c r="N38" s="21" t="s">
        <v>43</v>
      </c>
      <c r="O38" s="21" t="n">
        <v>2.1</v>
      </c>
      <c r="P38" s="26" t="n">
        <v>5.9</v>
      </c>
      <c r="Q38" s="26" t="n">
        <v>6.9</v>
      </c>
      <c r="R38" s="21" t="n">
        <v>30</v>
      </c>
      <c r="S38" s="21" t="n">
        <v>2</v>
      </c>
      <c r="T38" s="22"/>
      <c r="U38" s="22"/>
      <c r="V38" s="24" t="n">
        <f aca="false">IF(OR(N($P38)=0,$Q38=""),"",$Q38/$P38-1)</f>
        <v>0.169491525423729</v>
      </c>
      <c r="W38" s="25" t="n">
        <f aca="true">IF($J38="","",IF($M38="Active",TODAY(),IF($U38&lt;&gt;"",$U38,IF($L38&lt;&gt;"",$L38,TODAY())))-$J38)</f>
        <v>10</v>
      </c>
      <c r="X38" s="25" t="str">
        <f aca="true">IF(OR($L38="",$M38&lt;&gt;"Active"),"",TODAY()-$L38)</f>
        <v/>
      </c>
      <c r="Y38" s="25" t="str">
        <f aca="false">IF($M38&lt;&gt;"Active","",INDEX(Lists!$C$4:$C$14,MATCH($K38,Lists!$A$4:$A$14,0)))</f>
        <v/>
      </c>
      <c r="Z38" s="25" t="str">
        <f aca="false">IF($B38="","",IF($M38&lt;&gt;"Active","Closed",IF($X38="","",IF($X38&gt;$Y38,"BREACH","On Track"))))</f>
        <v>Closed</v>
      </c>
      <c r="AA38" s="25" t="str">
        <f aca="false">IF($K38="","",IFERROR(INDEX(Lists!$E$4:$E$14,MATCH($K38,Lists!$A$4:$A$14,0)),""))</f>
        <v>Close &amp; capture reason</v>
      </c>
      <c r="AB38" s="27" t="str">
        <f aca="false">IF($U38&lt;&gt;"",$U38,IF(OR($T38="",$M38&lt;&gt;"Active"),"",$T38+N($R38)))</f>
        <v/>
      </c>
      <c r="AC38" s="25" t="str">
        <f aca="false">IF(OR($T38="",$J38=""),"",$T38-$J38)</f>
        <v/>
      </c>
      <c r="AD38" s="25" t="str">
        <f aca="false">IF(AND($K38="Joined",$U38&lt;&gt;"",$J38&lt;&gt;""),$U38-$J38,"")</f>
        <v/>
      </c>
      <c r="AE38" s="25" t="n">
        <f aca="false">IF($K38="","",IF(OR($K38="Rejected",$K38="Withdrawn"),IFERROR(INDEX(Lists!$B$4:$B$14,MATCH($N38,Lists!$A$4:$A$14,0)),1),IFERROR(INDEX(Lists!$B$4:$B$14,MATCH($K38,Lists!$A$4:$A$14,0)),0)))</f>
        <v>4</v>
      </c>
    </row>
    <row r="39" customFormat="false" ht="15" hidden="false" customHeight="false" outlineLevel="0" collapsed="false">
      <c r="A39" s="25" t="str">
        <f aca="false">IF($B39="","","C-"&amp;TEXT(ROW()-1,"0000"))</f>
        <v>C-0038</v>
      </c>
      <c r="B39" s="21" t="s">
        <v>257</v>
      </c>
      <c r="C39" s="21" t="s">
        <v>258</v>
      </c>
      <c r="D39" s="21" t="s">
        <v>259</v>
      </c>
      <c r="E39" s="21" t="s">
        <v>87</v>
      </c>
      <c r="F39" s="25" t="str">
        <f aca="false">IF($E39="","",IFERROR(INDEX(Requisitions!$B$2:$B$101,MATCH($E39,Requisitions!$A$2:$A$101,0)),"Unknown Req"))</f>
        <v>Senior SDET</v>
      </c>
      <c r="G39" s="25" t="str">
        <f aca="false">IF($E39="","",IFERROR(INDEX(Requisitions!$D$2:$D$101,MATCH($E39,Requisitions!$A$2:$A$101,0)),""))</f>
        <v>M. Iyer</v>
      </c>
      <c r="H39" s="21" t="s">
        <v>147</v>
      </c>
      <c r="I39" s="21" t="s">
        <v>86</v>
      </c>
      <c r="J39" s="22" t="n">
        <v>46218</v>
      </c>
      <c r="K39" s="21" t="s">
        <v>42</v>
      </c>
      <c r="L39" s="22" t="n">
        <v>46305</v>
      </c>
      <c r="M39" s="25" t="str">
        <f aca="false">IF($K39="","",IFERROR(INDEX(Lists!$D$4:$D$14,MATCH($K39,Lists!$A$4:$A$14,0)),"Check stage"))</f>
        <v>Active</v>
      </c>
      <c r="N39" s="21"/>
      <c r="O39" s="21" t="n">
        <v>2.7</v>
      </c>
      <c r="P39" s="26" t="n">
        <v>9.6</v>
      </c>
      <c r="Q39" s="26" t="n">
        <v>11.5</v>
      </c>
      <c r="R39" s="21" t="n">
        <v>15</v>
      </c>
      <c r="S39" s="21" t="n">
        <v>4</v>
      </c>
      <c r="T39" s="22"/>
      <c r="U39" s="22"/>
      <c r="V39" s="24" t="n">
        <f aca="false">IF(OR(N($P39)=0,$Q39=""),"",$Q39/$P39-1)</f>
        <v>0.197916666666667</v>
      </c>
      <c r="W39" s="25" t="n">
        <f aca="true">IF($J39="","",IF($M39="Active",TODAY(),IF($U39&lt;&gt;"",$U39,IF($L39&lt;&gt;"",$L39,TODAY())))-$J39)</f>
        <v>92</v>
      </c>
      <c r="X39" s="25" t="n">
        <f aca="true">IF(OR($L39="",$M39&lt;&gt;"Active"),"",TODAY()-$L39)</f>
        <v>5</v>
      </c>
      <c r="Y39" s="25" t="n">
        <f aca="false">IF($M39&lt;&gt;"Active","",INDEX(Lists!$C$4:$C$14,MATCH($K39,Lists!$A$4:$A$14,0)))</f>
        <v>5</v>
      </c>
      <c r="Z39" s="25" t="str">
        <f aca="false">IF($B39="","",IF($M39&lt;&gt;"Active","Closed",IF($X39="","",IF($X39&gt;$Y39,"BREACH","On Track"))))</f>
        <v>On Track</v>
      </c>
      <c r="AA39" s="25" t="str">
        <f aca="false">IF($K39="","",IFERROR(INDEX(Lists!$E$4:$E$14,MATCH($K39,Lists!$A$4:$A$14,0)),""))</f>
        <v>Schedule / collect Tech R1 feedback</v>
      </c>
      <c r="AB39" s="27" t="str">
        <f aca="false">IF($U39&lt;&gt;"",$U39,IF(OR($T39="",$M39&lt;&gt;"Active"),"",$T39+N($R39)))</f>
        <v/>
      </c>
      <c r="AC39" s="25" t="str">
        <f aca="false">IF(OR($T39="",$J39=""),"",$T39-$J39)</f>
        <v/>
      </c>
      <c r="AD39" s="25" t="str">
        <f aca="false">IF(AND($K39="Joined",$U39&lt;&gt;"",$J39&lt;&gt;""),$U39-$J39,"")</f>
        <v/>
      </c>
      <c r="AE39" s="25" t="n">
        <f aca="false">IF($K39="","",IF(OR($K39="Rejected",$K39="Withdrawn"),IFERROR(INDEX(Lists!$B$4:$B$14,MATCH($N39,Lists!$A$4:$A$14,0)),1),IFERROR(INDEX(Lists!$B$4:$B$14,MATCH($K39,Lists!$A$4:$A$14,0)),0)))</f>
        <v>3</v>
      </c>
    </row>
    <row r="40" customFormat="false" ht="15" hidden="false" customHeight="false" outlineLevel="0" collapsed="false">
      <c r="A40" s="25" t="str">
        <f aca="false">IF($B40="","","C-"&amp;TEXT(ROW()-1,"0000"))</f>
        <v>C-0039</v>
      </c>
      <c r="B40" s="21" t="s">
        <v>260</v>
      </c>
      <c r="C40" s="21" t="s">
        <v>261</v>
      </c>
      <c r="D40" s="21" t="s">
        <v>262</v>
      </c>
      <c r="E40" s="21" t="s">
        <v>91</v>
      </c>
      <c r="F40" s="25" t="str">
        <f aca="false">IF($E40="","",IFERROR(INDEX(Requisitions!$B$2:$B$101,MATCH($E40,Requisitions!$A$2:$A$101,0)),"Unknown Req"))</f>
        <v>Python Backend Developer</v>
      </c>
      <c r="G40" s="25" t="str">
        <f aca="false">IF($E40="","",IFERROR(INDEX(Requisitions!$D$2:$D$101,MATCH($E40,Requisitions!$A$2:$A$101,0)),""))</f>
        <v>A. Kumar</v>
      </c>
      <c r="H40" s="21" t="s">
        <v>171</v>
      </c>
      <c r="I40" s="21" t="s">
        <v>96</v>
      </c>
      <c r="J40" s="22" t="n">
        <v>46239</v>
      </c>
      <c r="K40" s="21" t="s">
        <v>47</v>
      </c>
      <c r="L40" s="22" t="n">
        <v>46258</v>
      </c>
      <c r="M40" s="25" t="str">
        <f aca="false">IF($K40="","",IFERROR(INDEX(Lists!$D$4:$D$14,MATCH($K40,Lists!$A$4:$A$14,0)),"Check stage"))</f>
        <v>Lost</v>
      </c>
      <c r="N40" s="21"/>
      <c r="O40" s="21" t="n">
        <v>7.9</v>
      </c>
      <c r="P40" s="26" t="n">
        <v>23.7</v>
      </c>
      <c r="Q40" s="26" t="n">
        <v>36.4</v>
      </c>
      <c r="R40" s="21" t="n">
        <v>60</v>
      </c>
      <c r="S40" s="21" t="n">
        <v>3</v>
      </c>
      <c r="T40" s="22" t="n">
        <v>46258</v>
      </c>
      <c r="U40" s="22"/>
      <c r="V40" s="24" t="n">
        <f aca="false">IF(OR(N($P40)=0,$Q40=""),"",$Q40/$P40-1)</f>
        <v>0.535864978902954</v>
      </c>
      <c r="W40" s="25" t="n">
        <f aca="true">IF($J40="","",IF($M40="Active",TODAY(),IF($U40&lt;&gt;"",$U40,IF($L40&lt;&gt;"",$L40,TODAY())))-$J40)</f>
        <v>19</v>
      </c>
      <c r="X40" s="25" t="str">
        <f aca="true">IF(OR($L40="",$M40&lt;&gt;"Active"),"",TODAY()-$L40)</f>
        <v/>
      </c>
      <c r="Y40" s="25" t="str">
        <f aca="false">IF($M40&lt;&gt;"Active","",INDEX(Lists!$C$4:$C$14,MATCH($K40,Lists!$A$4:$A$14,0)))</f>
        <v/>
      </c>
      <c r="Z40" s="25" t="str">
        <f aca="false">IF($B40="","",IF($M40&lt;&gt;"Active","Closed",IF($X40="","",IF($X40&gt;$Y40,"BREACH","On Track"))))</f>
        <v>Closed</v>
      </c>
      <c r="AA40" s="25" t="str">
        <f aca="false">IF($K40="","",IFERROR(INDEX(Lists!$E$4:$E$14,MATCH($K40,Lists!$A$4:$A$14,0)),""))</f>
        <v>Close &amp; capture decline reason</v>
      </c>
      <c r="AB40" s="27" t="str">
        <f aca="false">IF($U40&lt;&gt;"",$U40,IF(OR($T40="",$M40&lt;&gt;"Active"),"",$T40+N($R40)))</f>
        <v/>
      </c>
      <c r="AC40" s="25" t="n">
        <f aca="false">IF(OR($T40="",$J40=""),"",$T40-$J40)</f>
        <v>19</v>
      </c>
      <c r="AD40" s="25" t="str">
        <f aca="false">IF(AND($K40="Joined",$U40&lt;&gt;"",$J40&lt;&gt;""),$U40-$J40,"")</f>
        <v/>
      </c>
      <c r="AE40" s="25" t="n">
        <f aca="false">IF($K40="","",IF(OR($K40="Rejected",$K40="Withdrawn"),IFERROR(INDEX(Lists!$B$4:$B$14,MATCH($N40,Lists!$A$4:$A$14,0)),1),IFERROR(INDEX(Lists!$B$4:$B$14,MATCH($K40,Lists!$A$4:$A$14,0)),0)))</f>
        <v>6</v>
      </c>
    </row>
    <row r="41" customFormat="false" ht="15" hidden="false" customHeight="false" outlineLevel="0" collapsed="false">
      <c r="A41" s="25" t="str">
        <f aca="false">IF($B41="","","C-"&amp;TEXT(ROW()-1,"0000"))</f>
        <v>C-0040</v>
      </c>
      <c r="B41" s="21" t="s">
        <v>263</v>
      </c>
      <c r="C41" s="21" t="s">
        <v>264</v>
      </c>
      <c r="D41" s="21" t="s">
        <v>265</v>
      </c>
      <c r="E41" s="21" t="s">
        <v>97</v>
      </c>
      <c r="F41" s="25" t="str">
        <f aca="false">IF($E41="","",IFERROR(INDEX(Requisitions!$B$2:$B$101,MATCH($E41,Requisitions!$A$2:$A$101,0)),"Unknown Req"))</f>
        <v>DevOps Engineer</v>
      </c>
      <c r="G41" s="25" t="str">
        <f aca="false">IF($E41="","",IFERROR(INDEX(Requisitions!$D$2:$D$101,MATCH($E41,Requisitions!$A$2:$A$101,0)),""))</f>
        <v>R. Nair</v>
      </c>
      <c r="H41" s="21" t="s">
        <v>151</v>
      </c>
      <c r="I41" s="21" t="s">
        <v>102</v>
      </c>
      <c r="J41" s="22" t="n">
        <v>46258</v>
      </c>
      <c r="K41" s="21" t="s">
        <v>42</v>
      </c>
      <c r="L41" s="22" t="n">
        <v>46305</v>
      </c>
      <c r="M41" s="25" t="str">
        <f aca="false">IF($K41="","",IFERROR(INDEX(Lists!$D$4:$D$14,MATCH($K41,Lists!$A$4:$A$14,0)),"Check stage"))</f>
        <v>Active</v>
      </c>
      <c r="N41" s="21"/>
      <c r="O41" s="21" t="n">
        <v>1.2</v>
      </c>
      <c r="P41" s="26" t="n">
        <v>13.4</v>
      </c>
      <c r="Q41" s="26" t="n">
        <v>19</v>
      </c>
      <c r="R41" s="21" t="n">
        <v>60</v>
      </c>
      <c r="S41" s="21" t="n">
        <v>2</v>
      </c>
      <c r="T41" s="22"/>
      <c r="U41" s="22"/>
      <c r="V41" s="24" t="n">
        <f aca="false">IF(OR(N($P41)=0,$Q41=""),"",$Q41/$P41-1)</f>
        <v>0.417910447761194</v>
      </c>
      <c r="W41" s="25" t="n">
        <f aca="true">IF($J41="","",IF($M41="Active",TODAY(),IF($U41&lt;&gt;"",$U41,IF($L41&lt;&gt;"",$L41,TODAY())))-$J41)</f>
        <v>52</v>
      </c>
      <c r="X41" s="25" t="n">
        <f aca="true">IF(OR($L41="",$M41&lt;&gt;"Active"),"",TODAY()-$L41)</f>
        <v>5</v>
      </c>
      <c r="Y41" s="25" t="n">
        <f aca="false">IF($M41&lt;&gt;"Active","",INDEX(Lists!$C$4:$C$14,MATCH($K41,Lists!$A$4:$A$14,0)))</f>
        <v>5</v>
      </c>
      <c r="Z41" s="25" t="str">
        <f aca="false">IF($B41="","",IF($M41&lt;&gt;"Active","Closed",IF($X41="","",IF($X41&gt;$Y41,"BREACH","On Track"))))</f>
        <v>On Track</v>
      </c>
      <c r="AA41" s="25" t="str">
        <f aca="false">IF($K41="","",IFERROR(INDEX(Lists!$E$4:$E$14,MATCH($K41,Lists!$A$4:$A$14,0)),""))</f>
        <v>Schedule / collect Tech R1 feedback</v>
      </c>
      <c r="AB41" s="27" t="str">
        <f aca="false">IF($U41&lt;&gt;"",$U41,IF(OR($T41="",$M41&lt;&gt;"Active"),"",$T41+N($R41)))</f>
        <v/>
      </c>
      <c r="AC41" s="25" t="str">
        <f aca="false">IF(OR($T41="",$J41=""),"",$T41-$J41)</f>
        <v/>
      </c>
      <c r="AD41" s="25" t="str">
        <f aca="false">IF(AND($K41="Joined",$U41&lt;&gt;"",$J41&lt;&gt;""),$U41-$J41,"")</f>
        <v/>
      </c>
      <c r="AE41" s="25" t="n">
        <f aca="false">IF($K41="","",IF(OR($K41="Rejected",$K41="Withdrawn"),IFERROR(INDEX(Lists!$B$4:$B$14,MATCH($N41,Lists!$A$4:$A$14,0)),1),IFERROR(INDEX(Lists!$B$4:$B$14,MATCH($K41,Lists!$A$4:$A$14,0)),0)))</f>
        <v>3</v>
      </c>
    </row>
    <row r="42" customFormat="false" ht="15" hidden="false" customHeight="false" outlineLevel="0" collapsed="false">
      <c r="A42" s="25" t="str">
        <f aca="false">IF($B42="","","C-"&amp;TEXT(ROW()-1,"0000"))</f>
        <v/>
      </c>
      <c r="B42" s="21"/>
      <c r="C42" s="21"/>
      <c r="D42" s="21"/>
      <c r="E42" s="21"/>
      <c r="F42" s="25" t="str">
        <f aca="false">IF($E42="","",IFERROR(INDEX(Requisitions!$B$2:$B$101,MATCH($E42,Requisitions!$A$2:$A$101,0)),"Unknown Req"))</f>
        <v/>
      </c>
      <c r="G42" s="25" t="str">
        <f aca="false">IF($E42="","",IFERROR(INDEX(Requisitions!$D$2:$D$101,MATCH($E42,Requisitions!$A$2:$A$101,0)),""))</f>
        <v/>
      </c>
      <c r="H42" s="21"/>
      <c r="I42" s="21"/>
      <c r="J42" s="22"/>
      <c r="K42" s="21"/>
      <c r="L42" s="22"/>
      <c r="M42" s="25" t="str">
        <f aca="false">IF($K42="","",IFERROR(INDEX(Lists!$D$4:$D$14,MATCH($K42,Lists!$A$4:$A$14,0)),"Check stage"))</f>
        <v/>
      </c>
      <c r="N42" s="21"/>
      <c r="O42" s="21"/>
      <c r="P42" s="26"/>
      <c r="Q42" s="26"/>
      <c r="R42" s="21"/>
      <c r="S42" s="21"/>
      <c r="T42" s="22"/>
      <c r="U42" s="22"/>
      <c r="V42" s="24" t="str">
        <f aca="false">IF(OR(N($P42)=0,$Q42=""),"",$Q42/$P42-1)</f>
        <v/>
      </c>
      <c r="W42" s="25" t="str">
        <f aca="true">IF($J42="","",IF($M42="Active",TODAY(),IF($U42&lt;&gt;"",$U42,IF($L42&lt;&gt;"",$L42,TODAY())))-$J42)</f>
        <v/>
      </c>
      <c r="X42" s="25" t="str">
        <f aca="true">IF(OR($L42="",$M42&lt;&gt;"Active"),"",TODAY()-$L42)</f>
        <v/>
      </c>
      <c r="Y42" s="25" t="str">
        <f aca="false">IF($M42&lt;&gt;"Active","",INDEX(Lists!$C$4:$C$14,MATCH($K42,Lists!$A$4:$A$14,0)))</f>
        <v/>
      </c>
      <c r="Z42" s="25" t="str">
        <f aca="false">IF($B42="","",IF($M42&lt;&gt;"Active","Closed",IF($X42="","",IF($X42&gt;$Y42,"BREACH","On Track"))))</f>
        <v/>
      </c>
      <c r="AA42" s="25" t="str">
        <f aca="false">IF($K42="","",IFERROR(INDEX(Lists!$E$4:$E$14,MATCH($K42,Lists!$A$4:$A$14,0)),""))</f>
        <v/>
      </c>
      <c r="AB42" s="27" t="str">
        <f aca="false">IF($U42&lt;&gt;"",$U42,IF(OR($T42="",$M42&lt;&gt;"Active"),"",$T42+N($R42)))</f>
        <v/>
      </c>
      <c r="AC42" s="25" t="str">
        <f aca="false">IF(OR($T42="",$J42=""),"",$T42-$J42)</f>
        <v/>
      </c>
      <c r="AD42" s="25" t="str">
        <f aca="false">IF(AND($K42="Joined",$U42&lt;&gt;"",$J42&lt;&gt;""),$U42-$J42,"")</f>
        <v/>
      </c>
      <c r="AE42" s="25" t="str">
        <f aca="false">IF($K42="","",IF(OR($K42="Rejected",$K42="Withdrawn"),IFERROR(INDEX(Lists!$B$4:$B$14,MATCH($N42,Lists!$A$4:$A$14,0)),1),IFERROR(INDEX(Lists!$B$4:$B$14,MATCH($K42,Lists!$A$4:$A$14,0)),0)))</f>
        <v/>
      </c>
    </row>
    <row r="43" customFormat="false" ht="15" hidden="false" customHeight="false" outlineLevel="0" collapsed="false">
      <c r="A43" s="25" t="str">
        <f aca="false">IF($B43="","","C-"&amp;TEXT(ROW()-1,"0000"))</f>
        <v/>
      </c>
      <c r="B43" s="21"/>
      <c r="C43" s="21"/>
      <c r="D43" s="21"/>
      <c r="E43" s="21"/>
      <c r="F43" s="25" t="str">
        <f aca="false">IF($E43="","",IFERROR(INDEX(Requisitions!$B$2:$B$101,MATCH($E43,Requisitions!$A$2:$A$101,0)),"Unknown Req"))</f>
        <v/>
      </c>
      <c r="G43" s="25" t="str">
        <f aca="false">IF($E43="","",IFERROR(INDEX(Requisitions!$D$2:$D$101,MATCH($E43,Requisitions!$A$2:$A$101,0)),""))</f>
        <v/>
      </c>
      <c r="H43" s="21"/>
      <c r="I43" s="21"/>
      <c r="J43" s="22"/>
      <c r="K43" s="21"/>
      <c r="L43" s="22"/>
      <c r="M43" s="25" t="str">
        <f aca="false">IF($K43="","",IFERROR(INDEX(Lists!$D$4:$D$14,MATCH($K43,Lists!$A$4:$A$14,0)),"Check stage"))</f>
        <v/>
      </c>
      <c r="N43" s="21"/>
      <c r="O43" s="21"/>
      <c r="P43" s="26"/>
      <c r="Q43" s="26"/>
      <c r="R43" s="21"/>
      <c r="S43" s="21"/>
      <c r="T43" s="22"/>
      <c r="U43" s="22"/>
      <c r="V43" s="24" t="str">
        <f aca="false">IF(OR(N($P43)=0,$Q43=""),"",$Q43/$P43-1)</f>
        <v/>
      </c>
      <c r="W43" s="25" t="str">
        <f aca="true">IF($J43="","",IF($M43="Active",TODAY(),IF($U43&lt;&gt;"",$U43,IF($L43&lt;&gt;"",$L43,TODAY())))-$J43)</f>
        <v/>
      </c>
      <c r="X43" s="25" t="str">
        <f aca="true">IF(OR($L43="",$M43&lt;&gt;"Active"),"",TODAY()-$L43)</f>
        <v/>
      </c>
      <c r="Y43" s="25" t="str">
        <f aca="false">IF($M43&lt;&gt;"Active","",INDEX(Lists!$C$4:$C$14,MATCH($K43,Lists!$A$4:$A$14,0)))</f>
        <v/>
      </c>
      <c r="Z43" s="25" t="str">
        <f aca="false">IF($B43="","",IF($M43&lt;&gt;"Active","Closed",IF($X43="","",IF($X43&gt;$Y43,"BREACH","On Track"))))</f>
        <v/>
      </c>
      <c r="AA43" s="25" t="str">
        <f aca="false">IF($K43="","",IFERROR(INDEX(Lists!$E$4:$E$14,MATCH($K43,Lists!$A$4:$A$14,0)),""))</f>
        <v/>
      </c>
      <c r="AB43" s="27" t="str">
        <f aca="false">IF($U43&lt;&gt;"",$U43,IF(OR($T43="",$M43&lt;&gt;"Active"),"",$T43+N($R43)))</f>
        <v/>
      </c>
      <c r="AC43" s="25" t="str">
        <f aca="false">IF(OR($T43="",$J43=""),"",$T43-$J43)</f>
        <v/>
      </c>
      <c r="AD43" s="25" t="str">
        <f aca="false">IF(AND($K43="Joined",$U43&lt;&gt;"",$J43&lt;&gt;""),$U43-$J43,"")</f>
        <v/>
      </c>
      <c r="AE43" s="25" t="str">
        <f aca="false">IF($K43="","",IF(OR($K43="Rejected",$K43="Withdrawn"),IFERROR(INDEX(Lists!$B$4:$B$14,MATCH($N43,Lists!$A$4:$A$14,0)),1),IFERROR(INDEX(Lists!$B$4:$B$14,MATCH($K43,Lists!$A$4:$A$14,0)),0)))</f>
        <v/>
      </c>
    </row>
    <row r="44" customFormat="false" ht="15" hidden="false" customHeight="false" outlineLevel="0" collapsed="false">
      <c r="A44" s="25" t="str">
        <f aca="false">IF($B44="","","C-"&amp;TEXT(ROW()-1,"0000"))</f>
        <v/>
      </c>
      <c r="B44" s="21"/>
      <c r="C44" s="21"/>
      <c r="D44" s="21"/>
      <c r="E44" s="21"/>
      <c r="F44" s="25" t="str">
        <f aca="false">IF($E44="","",IFERROR(INDEX(Requisitions!$B$2:$B$101,MATCH($E44,Requisitions!$A$2:$A$101,0)),"Unknown Req"))</f>
        <v/>
      </c>
      <c r="G44" s="25" t="str">
        <f aca="false">IF($E44="","",IFERROR(INDEX(Requisitions!$D$2:$D$101,MATCH($E44,Requisitions!$A$2:$A$101,0)),""))</f>
        <v/>
      </c>
      <c r="H44" s="21"/>
      <c r="I44" s="21"/>
      <c r="J44" s="22"/>
      <c r="K44" s="21"/>
      <c r="L44" s="22"/>
      <c r="M44" s="25" t="str">
        <f aca="false">IF($K44="","",IFERROR(INDEX(Lists!$D$4:$D$14,MATCH($K44,Lists!$A$4:$A$14,0)),"Check stage"))</f>
        <v/>
      </c>
      <c r="N44" s="21"/>
      <c r="O44" s="21"/>
      <c r="P44" s="26"/>
      <c r="Q44" s="26"/>
      <c r="R44" s="21"/>
      <c r="S44" s="21"/>
      <c r="T44" s="22"/>
      <c r="U44" s="22"/>
      <c r="V44" s="24" t="str">
        <f aca="false">IF(OR(N($P44)=0,$Q44=""),"",$Q44/$P44-1)</f>
        <v/>
      </c>
      <c r="W44" s="25" t="str">
        <f aca="true">IF($J44="","",IF($M44="Active",TODAY(),IF($U44&lt;&gt;"",$U44,IF($L44&lt;&gt;"",$L44,TODAY())))-$J44)</f>
        <v/>
      </c>
      <c r="X44" s="25" t="str">
        <f aca="true">IF(OR($L44="",$M44&lt;&gt;"Active"),"",TODAY()-$L44)</f>
        <v/>
      </c>
      <c r="Y44" s="25" t="str">
        <f aca="false">IF($M44&lt;&gt;"Active","",INDEX(Lists!$C$4:$C$14,MATCH($K44,Lists!$A$4:$A$14,0)))</f>
        <v/>
      </c>
      <c r="Z44" s="25" t="str">
        <f aca="false">IF($B44="","",IF($M44&lt;&gt;"Active","Closed",IF($X44="","",IF($X44&gt;$Y44,"BREACH","On Track"))))</f>
        <v/>
      </c>
      <c r="AA44" s="25" t="str">
        <f aca="false">IF($K44="","",IFERROR(INDEX(Lists!$E$4:$E$14,MATCH($K44,Lists!$A$4:$A$14,0)),""))</f>
        <v/>
      </c>
      <c r="AB44" s="27" t="str">
        <f aca="false">IF($U44&lt;&gt;"",$U44,IF(OR($T44="",$M44&lt;&gt;"Active"),"",$T44+N($R44)))</f>
        <v/>
      </c>
      <c r="AC44" s="25" t="str">
        <f aca="false">IF(OR($T44="",$J44=""),"",$T44-$J44)</f>
        <v/>
      </c>
      <c r="AD44" s="25" t="str">
        <f aca="false">IF(AND($K44="Joined",$U44&lt;&gt;"",$J44&lt;&gt;""),$U44-$J44,"")</f>
        <v/>
      </c>
      <c r="AE44" s="25" t="str">
        <f aca="false">IF($K44="","",IF(OR($K44="Rejected",$K44="Withdrawn"),IFERROR(INDEX(Lists!$B$4:$B$14,MATCH($N44,Lists!$A$4:$A$14,0)),1),IFERROR(INDEX(Lists!$B$4:$B$14,MATCH($K44,Lists!$A$4:$A$14,0)),0)))</f>
        <v/>
      </c>
    </row>
    <row r="45" customFormat="false" ht="15" hidden="false" customHeight="false" outlineLevel="0" collapsed="false">
      <c r="A45" s="25" t="str">
        <f aca="false">IF($B45="","","C-"&amp;TEXT(ROW()-1,"0000"))</f>
        <v/>
      </c>
      <c r="B45" s="21"/>
      <c r="C45" s="21"/>
      <c r="D45" s="21"/>
      <c r="E45" s="21"/>
      <c r="F45" s="25" t="str">
        <f aca="false">IF($E45="","",IFERROR(INDEX(Requisitions!$B$2:$B$101,MATCH($E45,Requisitions!$A$2:$A$101,0)),"Unknown Req"))</f>
        <v/>
      </c>
      <c r="G45" s="25" t="str">
        <f aca="false">IF($E45="","",IFERROR(INDEX(Requisitions!$D$2:$D$101,MATCH($E45,Requisitions!$A$2:$A$101,0)),""))</f>
        <v/>
      </c>
      <c r="H45" s="21"/>
      <c r="I45" s="21"/>
      <c r="J45" s="22"/>
      <c r="K45" s="21"/>
      <c r="L45" s="22"/>
      <c r="M45" s="25" t="str">
        <f aca="false">IF($K45="","",IFERROR(INDEX(Lists!$D$4:$D$14,MATCH($K45,Lists!$A$4:$A$14,0)),"Check stage"))</f>
        <v/>
      </c>
      <c r="N45" s="21"/>
      <c r="O45" s="21"/>
      <c r="P45" s="26"/>
      <c r="Q45" s="26"/>
      <c r="R45" s="21"/>
      <c r="S45" s="21"/>
      <c r="T45" s="22"/>
      <c r="U45" s="22"/>
      <c r="V45" s="24" t="str">
        <f aca="false">IF(OR(N($P45)=0,$Q45=""),"",$Q45/$P45-1)</f>
        <v/>
      </c>
      <c r="W45" s="25" t="str">
        <f aca="true">IF($J45="","",IF($M45="Active",TODAY(),IF($U45&lt;&gt;"",$U45,IF($L45&lt;&gt;"",$L45,TODAY())))-$J45)</f>
        <v/>
      </c>
      <c r="X45" s="25" t="str">
        <f aca="true">IF(OR($L45="",$M45&lt;&gt;"Active"),"",TODAY()-$L45)</f>
        <v/>
      </c>
      <c r="Y45" s="25" t="str">
        <f aca="false">IF($M45&lt;&gt;"Active","",INDEX(Lists!$C$4:$C$14,MATCH($K45,Lists!$A$4:$A$14,0)))</f>
        <v/>
      </c>
      <c r="Z45" s="25" t="str">
        <f aca="false">IF($B45="","",IF($M45&lt;&gt;"Active","Closed",IF($X45="","",IF($X45&gt;$Y45,"BREACH","On Track"))))</f>
        <v/>
      </c>
      <c r="AA45" s="25" t="str">
        <f aca="false">IF($K45="","",IFERROR(INDEX(Lists!$E$4:$E$14,MATCH($K45,Lists!$A$4:$A$14,0)),""))</f>
        <v/>
      </c>
      <c r="AB45" s="27" t="str">
        <f aca="false">IF($U45&lt;&gt;"",$U45,IF(OR($T45="",$M45&lt;&gt;"Active"),"",$T45+N($R45)))</f>
        <v/>
      </c>
      <c r="AC45" s="25" t="str">
        <f aca="false">IF(OR($T45="",$J45=""),"",$T45-$J45)</f>
        <v/>
      </c>
      <c r="AD45" s="25" t="str">
        <f aca="false">IF(AND($K45="Joined",$U45&lt;&gt;"",$J45&lt;&gt;""),$U45-$J45,"")</f>
        <v/>
      </c>
      <c r="AE45" s="25" t="str">
        <f aca="false">IF($K45="","",IF(OR($K45="Rejected",$K45="Withdrawn"),IFERROR(INDEX(Lists!$B$4:$B$14,MATCH($N45,Lists!$A$4:$A$14,0)),1),IFERROR(INDEX(Lists!$B$4:$B$14,MATCH($K45,Lists!$A$4:$A$14,0)),0)))</f>
        <v/>
      </c>
    </row>
    <row r="46" customFormat="false" ht="15" hidden="false" customHeight="false" outlineLevel="0" collapsed="false">
      <c r="A46" s="25" t="str">
        <f aca="false">IF($B46="","","C-"&amp;TEXT(ROW()-1,"0000"))</f>
        <v/>
      </c>
      <c r="B46" s="21"/>
      <c r="C46" s="21"/>
      <c r="D46" s="21"/>
      <c r="E46" s="21"/>
      <c r="F46" s="25" t="str">
        <f aca="false">IF($E46="","",IFERROR(INDEX(Requisitions!$B$2:$B$101,MATCH($E46,Requisitions!$A$2:$A$101,0)),"Unknown Req"))</f>
        <v/>
      </c>
      <c r="G46" s="25" t="str">
        <f aca="false">IF($E46="","",IFERROR(INDEX(Requisitions!$D$2:$D$101,MATCH($E46,Requisitions!$A$2:$A$101,0)),""))</f>
        <v/>
      </c>
      <c r="H46" s="21"/>
      <c r="I46" s="21"/>
      <c r="J46" s="22"/>
      <c r="K46" s="21"/>
      <c r="L46" s="22"/>
      <c r="M46" s="25" t="str">
        <f aca="false">IF($K46="","",IFERROR(INDEX(Lists!$D$4:$D$14,MATCH($K46,Lists!$A$4:$A$14,0)),"Check stage"))</f>
        <v/>
      </c>
      <c r="N46" s="21"/>
      <c r="O46" s="21"/>
      <c r="P46" s="26"/>
      <c r="Q46" s="26"/>
      <c r="R46" s="21"/>
      <c r="S46" s="21"/>
      <c r="T46" s="22"/>
      <c r="U46" s="22"/>
      <c r="V46" s="24" t="str">
        <f aca="false">IF(OR(N($P46)=0,$Q46=""),"",$Q46/$P46-1)</f>
        <v/>
      </c>
      <c r="W46" s="25" t="str">
        <f aca="true">IF($J46="","",IF($M46="Active",TODAY(),IF($U46&lt;&gt;"",$U46,IF($L46&lt;&gt;"",$L46,TODAY())))-$J46)</f>
        <v/>
      </c>
      <c r="X46" s="25" t="str">
        <f aca="true">IF(OR($L46="",$M46&lt;&gt;"Active"),"",TODAY()-$L46)</f>
        <v/>
      </c>
      <c r="Y46" s="25" t="str">
        <f aca="false">IF($M46&lt;&gt;"Active","",INDEX(Lists!$C$4:$C$14,MATCH($K46,Lists!$A$4:$A$14,0)))</f>
        <v/>
      </c>
      <c r="Z46" s="25" t="str">
        <f aca="false">IF($B46="","",IF($M46&lt;&gt;"Active","Closed",IF($X46="","",IF($X46&gt;$Y46,"BREACH","On Track"))))</f>
        <v/>
      </c>
      <c r="AA46" s="25" t="str">
        <f aca="false">IF($K46="","",IFERROR(INDEX(Lists!$E$4:$E$14,MATCH($K46,Lists!$A$4:$A$14,0)),""))</f>
        <v/>
      </c>
      <c r="AB46" s="27" t="str">
        <f aca="false">IF($U46&lt;&gt;"",$U46,IF(OR($T46="",$M46&lt;&gt;"Active"),"",$T46+N($R46)))</f>
        <v/>
      </c>
      <c r="AC46" s="25" t="str">
        <f aca="false">IF(OR($T46="",$J46=""),"",$T46-$J46)</f>
        <v/>
      </c>
      <c r="AD46" s="25" t="str">
        <f aca="false">IF(AND($K46="Joined",$U46&lt;&gt;"",$J46&lt;&gt;""),$U46-$J46,"")</f>
        <v/>
      </c>
      <c r="AE46" s="25" t="str">
        <f aca="false">IF($K46="","",IF(OR($K46="Rejected",$K46="Withdrawn"),IFERROR(INDEX(Lists!$B$4:$B$14,MATCH($N46,Lists!$A$4:$A$14,0)),1),IFERROR(INDEX(Lists!$B$4:$B$14,MATCH($K46,Lists!$A$4:$A$14,0)),0)))</f>
        <v/>
      </c>
    </row>
    <row r="47" customFormat="false" ht="15" hidden="false" customHeight="false" outlineLevel="0" collapsed="false">
      <c r="A47" s="25" t="str">
        <f aca="false">IF($B47="","","C-"&amp;TEXT(ROW()-1,"0000"))</f>
        <v/>
      </c>
      <c r="B47" s="21"/>
      <c r="C47" s="21"/>
      <c r="D47" s="21"/>
      <c r="E47" s="21"/>
      <c r="F47" s="25" t="str">
        <f aca="false">IF($E47="","",IFERROR(INDEX(Requisitions!$B$2:$B$101,MATCH($E47,Requisitions!$A$2:$A$101,0)),"Unknown Req"))</f>
        <v/>
      </c>
      <c r="G47" s="25" t="str">
        <f aca="false">IF($E47="","",IFERROR(INDEX(Requisitions!$D$2:$D$101,MATCH($E47,Requisitions!$A$2:$A$101,0)),""))</f>
        <v/>
      </c>
      <c r="H47" s="21"/>
      <c r="I47" s="21"/>
      <c r="J47" s="22"/>
      <c r="K47" s="21"/>
      <c r="L47" s="22"/>
      <c r="M47" s="25" t="str">
        <f aca="false">IF($K47="","",IFERROR(INDEX(Lists!$D$4:$D$14,MATCH($K47,Lists!$A$4:$A$14,0)),"Check stage"))</f>
        <v/>
      </c>
      <c r="N47" s="21"/>
      <c r="O47" s="21"/>
      <c r="P47" s="26"/>
      <c r="Q47" s="26"/>
      <c r="R47" s="21"/>
      <c r="S47" s="21"/>
      <c r="T47" s="22"/>
      <c r="U47" s="22"/>
      <c r="V47" s="24" t="str">
        <f aca="false">IF(OR(N($P47)=0,$Q47=""),"",$Q47/$P47-1)</f>
        <v/>
      </c>
      <c r="W47" s="25" t="str">
        <f aca="true">IF($J47="","",IF($M47="Active",TODAY(),IF($U47&lt;&gt;"",$U47,IF($L47&lt;&gt;"",$L47,TODAY())))-$J47)</f>
        <v/>
      </c>
      <c r="X47" s="25" t="str">
        <f aca="true">IF(OR($L47="",$M47&lt;&gt;"Active"),"",TODAY()-$L47)</f>
        <v/>
      </c>
      <c r="Y47" s="25" t="str">
        <f aca="false">IF($M47&lt;&gt;"Active","",INDEX(Lists!$C$4:$C$14,MATCH($K47,Lists!$A$4:$A$14,0)))</f>
        <v/>
      </c>
      <c r="Z47" s="25" t="str">
        <f aca="false">IF($B47="","",IF($M47&lt;&gt;"Active","Closed",IF($X47="","",IF($X47&gt;$Y47,"BREACH","On Track"))))</f>
        <v/>
      </c>
      <c r="AA47" s="25" t="str">
        <f aca="false">IF($K47="","",IFERROR(INDEX(Lists!$E$4:$E$14,MATCH($K47,Lists!$A$4:$A$14,0)),""))</f>
        <v/>
      </c>
      <c r="AB47" s="27" t="str">
        <f aca="false">IF($U47&lt;&gt;"",$U47,IF(OR($T47="",$M47&lt;&gt;"Active"),"",$T47+N($R47)))</f>
        <v/>
      </c>
      <c r="AC47" s="25" t="str">
        <f aca="false">IF(OR($T47="",$J47=""),"",$T47-$J47)</f>
        <v/>
      </c>
      <c r="AD47" s="25" t="str">
        <f aca="false">IF(AND($K47="Joined",$U47&lt;&gt;"",$J47&lt;&gt;""),$U47-$J47,"")</f>
        <v/>
      </c>
      <c r="AE47" s="25" t="str">
        <f aca="false">IF($K47="","",IF(OR($K47="Rejected",$K47="Withdrawn"),IFERROR(INDEX(Lists!$B$4:$B$14,MATCH($N47,Lists!$A$4:$A$14,0)),1),IFERROR(INDEX(Lists!$B$4:$B$14,MATCH($K47,Lists!$A$4:$A$14,0)),0)))</f>
        <v/>
      </c>
    </row>
    <row r="48" customFormat="false" ht="15" hidden="false" customHeight="false" outlineLevel="0" collapsed="false">
      <c r="A48" s="25" t="str">
        <f aca="false">IF($B48="","","C-"&amp;TEXT(ROW()-1,"0000"))</f>
        <v/>
      </c>
      <c r="B48" s="21"/>
      <c r="C48" s="21"/>
      <c r="D48" s="21"/>
      <c r="E48" s="21"/>
      <c r="F48" s="25" t="str">
        <f aca="false">IF($E48="","",IFERROR(INDEX(Requisitions!$B$2:$B$101,MATCH($E48,Requisitions!$A$2:$A$101,0)),"Unknown Req"))</f>
        <v/>
      </c>
      <c r="G48" s="25" t="str">
        <f aca="false">IF($E48="","",IFERROR(INDEX(Requisitions!$D$2:$D$101,MATCH($E48,Requisitions!$A$2:$A$101,0)),""))</f>
        <v/>
      </c>
      <c r="H48" s="21"/>
      <c r="I48" s="21"/>
      <c r="J48" s="22"/>
      <c r="K48" s="21"/>
      <c r="L48" s="22"/>
      <c r="M48" s="25" t="str">
        <f aca="false">IF($K48="","",IFERROR(INDEX(Lists!$D$4:$D$14,MATCH($K48,Lists!$A$4:$A$14,0)),"Check stage"))</f>
        <v/>
      </c>
      <c r="N48" s="21"/>
      <c r="O48" s="21"/>
      <c r="P48" s="26"/>
      <c r="Q48" s="26"/>
      <c r="R48" s="21"/>
      <c r="S48" s="21"/>
      <c r="T48" s="22"/>
      <c r="U48" s="22"/>
      <c r="V48" s="24" t="str">
        <f aca="false">IF(OR(N($P48)=0,$Q48=""),"",$Q48/$P48-1)</f>
        <v/>
      </c>
      <c r="W48" s="25" t="str">
        <f aca="true">IF($J48="","",IF($M48="Active",TODAY(),IF($U48&lt;&gt;"",$U48,IF($L48&lt;&gt;"",$L48,TODAY())))-$J48)</f>
        <v/>
      </c>
      <c r="X48" s="25" t="str">
        <f aca="true">IF(OR($L48="",$M48&lt;&gt;"Active"),"",TODAY()-$L48)</f>
        <v/>
      </c>
      <c r="Y48" s="25" t="str">
        <f aca="false">IF($M48&lt;&gt;"Active","",INDEX(Lists!$C$4:$C$14,MATCH($K48,Lists!$A$4:$A$14,0)))</f>
        <v/>
      </c>
      <c r="Z48" s="25" t="str">
        <f aca="false">IF($B48="","",IF($M48&lt;&gt;"Active","Closed",IF($X48="","",IF($X48&gt;$Y48,"BREACH","On Track"))))</f>
        <v/>
      </c>
      <c r="AA48" s="25" t="str">
        <f aca="false">IF($K48="","",IFERROR(INDEX(Lists!$E$4:$E$14,MATCH($K48,Lists!$A$4:$A$14,0)),""))</f>
        <v/>
      </c>
      <c r="AB48" s="27" t="str">
        <f aca="false">IF($U48&lt;&gt;"",$U48,IF(OR($T48="",$M48&lt;&gt;"Active"),"",$T48+N($R48)))</f>
        <v/>
      </c>
      <c r="AC48" s="25" t="str">
        <f aca="false">IF(OR($T48="",$J48=""),"",$T48-$J48)</f>
        <v/>
      </c>
      <c r="AD48" s="25" t="str">
        <f aca="false">IF(AND($K48="Joined",$U48&lt;&gt;"",$J48&lt;&gt;""),$U48-$J48,"")</f>
        <v/>
      </c>
      <c r="AE48" s="25" t="str">
        <f aca="false">IF($K48="","",IF(OR($K48="Rejected",$K48="Withdrawn"),IFERROR(INDEX(Lists!$B$4:$B$14,MATCH($N48,Lists!$A$4:$A$14,0)),1),IFERROR(INDEX(Lists!$B$4:$B$14,MATCH($K48,Lists!$A$4:$A$14,0)),0)))</f>
        <v/>
      </c>
    </row>
    <row r="49" customFormat="false" ht="15" hidden="false" customHeight="false" outlineLevel="0" collapsed="false">
      <c r="A49" s="25" t="str">
        <f aca="false">IF($B49="","","C-"&amp;TEXT(ROW()-1,"0000"))</f>
        <v/>
      </c>
      <c r="B49" s="21"/>
      <c r="C49" s="21"/>
      <c r="D49" s="21"/>
      <c r="E49" s="21"/>
      <c r="F49" s="25" t="str">
        <f aca="false">IF($E49="","",IFERROR(INDEX(Requisitions!$B$2:$B$101,MATCH($E49,Requisitions!$A$2:$A$101,0)),"Unknown Req"))</f>
        <v/>
      </c>
      <c r="G49" s="25" t="str">
        <f aca="false">IF($E49="","",IFERROR(INDEX(Requisitions!$D$2:$D$101,MATCH($E49,Requisitions!$A$2:$A$101,0)),""))</f>
        <v/>
      </c>
      <c r="H49" s="21"/>
      <c r="I49" s="21"/>
      <c r="J49" s="22"/>
      <c r="K49" s="21"/>
      <c r="L49" s="22"/>
      <c r="M49" s="25" t="str">
        <f aca="false">IF($K49="","",IFERROR(INDEX(Lists!$D$4:$D$14,MATCH($K49,Lists!$A$4:$A$14,0)),"Check stage"))</f>
        <v/>
      </c>
      <c r="N49" s="21"/>
      <c r="O49" s="21"/>
      <c r="P49" s="26"/>
      <c r="Q49" s="26"/>
      <c r="R49" s="21"/>
      <c r="S49" s="21"/>
      <c r="T49" s="22"/>
      <c r="U49" s="22"/>
      <c r="V49" s="24" t="str">
        <f aca="false">IF(OR(N($P49)=0,$Q49=""),"",$Q49/$P49-1)</f>
        <v/>
      </c>
      <c r="W49" s="25" t="str">
        <f aca="true">IF($J49="","",IF($M49="Active",TODAY(),IF($U49&lt;&gt;"",$U49,IF($L49&lt;&gt;"",$L49,TODAY())))-$J49)</f>
        <v/>
      </c>
      <c r="X49" s="25" t="str">
        <f aca="true">IF(OR($L49="",$M49&lt;&gt;"Active"),"",TODAY()-$L49)</f>
        <v/>
      </c>
      <c r="Y49" s="25" t="str">
        <f aca="false">IF($M49&lt;&gt;"Active","",INDEX(Lists!$C$4:$C$14,MATCH($K49,Lists!$A$4:$A$14,0)))</f>
        <v/>
      </c>
      <c r="Z49" s="25" t="str">
        <f aca="false">IF($B49="","",IF($M49&lt;&gt;"Active","Closed",IF($X49="","",IF($X49&gt;$Y49,"BREACH","On Track"))))</f>
        <v/>
      </c>
      <c r="AA49" s="25" t="str">
        <f aca="false">IF($K49="","",IFERROR(INDEX(Lists!$E$4:$E$14,MATCH($K49,Lists!$A$4:$A$14,0)),""))</f>
        <v/>
      </c>
      <c r="AB49" s="27" t="str">
        <f aca="false">IF($U49&lt;&gt;"",$U49,IF(OR($T49="",$M49&lt;&gt;"Active"),"",$T49+N($R49)))</f>
        <v/>
      </c>
      <c r="AC49" s="25" t="str">
        <f aca="false">IF(OR($T49="",$J49=""),"",$T49-$J49)</f>
        <v/>
      </c>
      <c r="AD49" s="25" t="str">
        <f aca="false">IF(AND($K49="Joined",$U49&lt;&gt;"",$J49&lt;&gt;""),$U49-$J49,"")</f>
        <v/>
      </c>
      <c r="AE49" s="25" t="str">
        <f aca="false">IF($K49="","",IF(OR($K49="Rejected",$K49="Withdrawn"),IFERROR(INDEX(Lists!$B$4:$B$14,MATCH($N49,Lists!$A$4:$A$14,0)),1),IFERROR(INDEX(Lists!$B$4:$B$14,MATCH($K49,Lists!$A$4:$A$14,0)),0)))</f>
        <v/>
      </c>
    </row>
    <row r="50" customFormat="false" ht="15" hidden="false" customHeight="false" outlineLevel="0" collapsed="false">
      <c r="A50" s="25" t="str">
        <f aca="false">IF($B50="","","C-"&amp;TEXT(ROW()-1,"0000"))</f>
        <v/>
      </c>
      <c r="B50" s="21"/>
      <c r="C50" s="21"/>
      <c r="D50" s="21"/>
      <c r="E50" s="21"/>
      <c r="F50" s="25" t="str">
        <f aca="false">IF($E50="","",IFERROR(INDEX(Requisitions!$B$2:$B$101,MATCH($E50,Requisitions!$A$2:$A$101,0)),"Unknown Req"))</f>
        <v/>
      </c>
      <c r="G50" s="25" t="str">
        <f aca="false">IF($E50="","",IFERROR(INDEX(Requisitions!$D$2:$D$101,MATCH($E50,Requisitions!$A$2:$A$101,0)),""))</f>
        <v/>
      </c>
      <c r="H50" s="21"/>
      <c r="I50" s="21"/>
      <c r="J50" s="22"/>
      <c r="K50" s="21"/>
      <c r="L50" s="22"/>
      <c r="M50" s="25" t="str">
        <f aca="false">IF($K50="","",IFERROR(INDEX(Lists!$D$4:$D$14,MATCH($K50,Lists!$A$4:$A$14,0)),"Check stage"))</f>
        <v/>
      </c>
      <c r="N50" s="21"/>
      <c r="O50" s="21"/>
      <c r="P50" s="26"/>
      <c r="Q50" s="26"/>
      <c r="R50" s="21"/>
      <c r="S50" s="21"/>
      <c r="T50" s="22"/>
      <c r="U50" s="22"/>
      <c r="V50" s="24" t="str">
        <f aca="false">IF(OR(N($P50)=0,$Q50=""),"",$Q50/$P50-1)</f>
        <v/>
      </c>
      <c r="W50" s="25" t="str">
        <f aca="true">IF($J50="","",IF($M50="Active",TODAY(),IF($U50&lt;&gt;"",$U50,IF($L50&lt;&gt;"",$L50,TODAY())))-$J50)</f>
        <v/>
      </c>
      <c r="X50" s="25" t="str">
        <f aca="true">IF(OR($L50="",$M50&lt;&gt;"Active"),"",TODAY()-$L50)</f>
        <v/>
      </c>
      <c r="Y50" s="25" t="str">
        <f aca="false">IF($M50&lt;&gt;"Active","",INDEX(Lists!$C$4:$C$14,MATCH($K50,Lists!$A$4:$A$14,0)))</f>
        <v/>
      </c>
      <c r="Z50" s="25" t="str">
        <f aca="false">IF($B50="","",IF($M50&lt;&gt;"Active","Closed",IF($X50="","",IF($X50&gt;$Y50,"BREACH","On Track"))))</f>
        <v/>
      </c>
      <c r="AA50" s="25" t="str">
        <f aca="false">IF($K50="","",IFERROR(INDEX(Lists!$E$4:$E$14,MATCH($K50,Lists!$A$4:$A$14,0)),""))</f>
        <v/>
      </c>
      <c r="AB50" s="27" t="str">
        <f aca="false">IF($U50&lt;&gt;"",$U50,IF(OR($T50="",$M50&lt;&gt;"Active"),"",$T50+N($R50)))</f>
        <v/>
      </c>
      <c r="AC50" s="25" t="str">
        <f aca="false">IF(OR($T50="",$J50=""),"",$T50-$J50)</f>
        <v/>
      </c>
      <c r="AD50" s="25" t="str">
        <f aca="false">IF(AND($K50="Joined",$U50&lt;&gt;"",$J50&lt;&gt;""),$U50-$J50,"")</f>
        <v/>
      </c>
      <c r="AE50" s="25" t="str">
        <f aca="false">IF($K50="","",IF(OR($K50="Rejected",$K50="Withdrawn"),IFERROR(INDEX(Lists!$B$4:$B$14,MATCH($N50,Lists!$A$4:$A$14,0)),1),IFERROR(INDEX(Lists!$B$4:$B$14,MATCH($K50,Lists!$A$4:$A$14,0)),0)))</f>
        <v/>
      </c>
    </row>
    <row r="51" customFormat="false" ht="15" hidden="false" customHeight="false" outlineLevel="0" collapsed="false">
      <c r="A51" s="25" t="str">
        <f aca="false">IF($B51="","","C-"&amp;TEXT(ROW()-1,"0000"))</f>
        <v/>
      </c>
      <c r="B51" s="21"/>
      <c r="C51" s="21"/>
      <c r="D51" s="21"/>
      <c r="E51" s="21"/>
      <c r="F51" s="25" t="str">
        <f aca="false">IF($E51="","",IFERROR(INDEX(Requisitions!$B$2:$B$101,MATCH($E51,Requisitions!$A$2:$A$101,0)),"Unknown Req"))</f>
        <v/>
      </c>
      <c r="G51" s="25" t="str">
        <f aca="false">IF($E51="","",IFERROR(INDEX(Requisitions!$D$2:$D$101,MATCH($E51,Requisitions!$A$2:$A$101,0)),""))</f>
        <v/>
      </c>
      <c r="H51" s="21"/>
      <c r="I51" s="21"/>
      <c r="J51" s="22"/>
      <c r="K51" s="21"/>
      <c r="L51" s="22"/>
      <c r="M51" s="25" t="str">
        <f aca="false">IF($K51="","",IFERROR(INDEX(Lists!$D$4:$D$14,MATCH($K51,Lists!$A$4:$A$14,0)),"Check stage"))</f>
        <v/>
      </c>
      <c r="N51" s="21"/>
      <c r="O51" s="21"/>
      <c r="P51" s="26"/>
      <c r="Q51" s="26"/>
      <c r="R51" s="21"/>
      <c r="S51" s="21"/>
      <c r="T51" s="22"/>
      <c r="U51" s="22"/>
      <c r="V51" s="24" t="str">
        <f aca="false">IF(OR(N($P51)=0,$Q51=""),"",$Q51/$P51-1)</f>
        <v/>
      </c>
      <c r="W51" s="25" t="str">
        <f aca="true">IF($J51="","",IF($M51="Active",TODAY(),IF($U51&lt;&gt;"",$U51,IF($L51&lt;&gt;"",$L51,TODAY())))-$J51)</f>
        <v/>
      </c>
      <c r="X51" s="25" t="str">
        <f aca="true">IF(OR($L51="",$M51&lt;&gt;"Active"),"",TODAY()-$L51)</f>
        <v/>
      </c>
      <c r="Y51" s="25" t="str">
        <f aca="false">IF($M51&lt;&gt;"Active","",INDEX(Lists!$C$4:$C$14,MATCH($K51,Lists!$A$4:$A$14,0)))</f>
        <v/>
      </c>
      <c r="Z51" s="25" t="str">
        <f aca="false">IF($B51="","",IF($M51&lt;&gt;"Active","Closed",IF($X51="","",IF($X51&gt;$Y51,"BREACH","On Track"))))</f>
        <v/>
      </c>
      <c r="AA51" s="25" t="str">
        <f aca="false">IF($K51="","",IFERROR(INDEX(Lists!$E$4:$E$14,MATCH($K51,Lists!$A$4:$A$14,0)),""))</f>
        <v/>
      </c>
      <c r="AB51" s="27" t="str">
        <f aca="false">IF($U51&lt;&gt;"",$U51,IF(OR($T51="",$M51&lt;&gt;"Active"),"",$T51+N($R51)))</f>
        <v/>
      </c>
      <c r="AC51" s="25" t="str">
        <f aca="false">IF(OR($T51="",$J51=""),"",$T51-$J51)</f>
        <v/>
      </c>
      <c r="AD51" s="25" t="str">
        <f aca="false">IF(AND($K51="Joined",$U51&lt;&gt;"",$J51&lt;&gt;""),$U51-$J51,"")</f>
        <v/>
      </c>
      <c r="AE51" s="25" t="str">
        <f aca="false">IF($K51="","",IF(OR($K51="Rejected",$K51="Withdrawn"),IFERROR(INDEX(Lists!$B$4:$B$14,MATCH($N51,Lists!$A$4:$A$14,0)),1),IFERROR(INDEX(Lists!$B$4:$B$14,MATCH($K51,Lists!$A$4:$A$14,0)),0)))</f>
        <v/>
      </c>
    </row>
    <row r="52" customFormat="false" ht="15" hidden="false" customHeight="false" outlineLevel="0" collapsed="false">
      <c r="A52" s="25" t="str">
        <f aca="false">IF($B52="","","C-"&amp;TEXT(ROW()-1,"0000"))</f>
        <v/>
      </c>
      <c r="B52" s="21"/>
      <c r="C52" s="21"/>
      <c r="D52" s="21"/>
      <c r="E52" s="21"/>
      <c r="F52" s="25" t="str">
        <f aca="false">IF($E52="","",IFERROR(INDEX(Requisitions!$B$2:$B$101,MATCH($E52,Requisitions!$A$2:$A$101,0)),"Unknown Req"))</f>
        <v/>
      </c>
      <c r="G52" s="25" t="str">
        <f aca="false">IF($E52="","",IFERROR(INDEX(Requisitions!$D$2:$D$101,MATCH($E52,Requisitions!$A$2:$A$101,0)),""))</f>
        <v/>
      </c>
      <c r="H52" s="21"/>
      <c r="I52" s="21"/>
      <c r="J52" s="22"/>
      <c r="K52" s="21"/>
      <c r="L52" s="22"/>
      <c r="M52" s="25" t="str">
        <f aca="false">IF($K52="","",IFERROR(INDEX(Lists!$D$4:$D$14,MATCH($K52,Lists!$A$4:$A$14,0)),"Check stage"))</f>
        <v/>
      </c>
      <c r="N52" s="21"/>
      <c r="O52" s="21"/>
      <c r="P52" s="26"/>
      <c r="Q52" s="26"/>
      <c r="R52" s="21"/>
      <c r="S52" s="21"/>
      <c r="T52" s="22"/>
      <c r="U52" s="22"/>
      <c r="V52" s="24" t="str">
        <f aca="false">IF(OR(N($P52)=0,$Q52=""),"",$Q52/$P52-1)</f>
        <v/>
      </c>
      <c r="W52" s="25" t="str">
        <f aca="true">IF($J52="","",IF($M52="Active",TODAY(),IF($U52&lt;&gt;"",$U52,IF($L52&lt;&gt;"",$L52,TODAY())))-$J52)</f>
        <v/>
      </c>
      <c r="X52" s="25" t="str">
        <f aca="true">IF(OR($L52="",$M52&lt;&gt;"Active"),"",TODAY()-$L52)</f>
        <v/>
      </c>
      <c r="Y52" s="25" t="str">
        <f aca="false">IF($M52&lt;&gt;"Active","",INDEX(Lists!$C$4:$C$14,MATCH($K52,Lists!$A$4:$A$14,0)))</f>
        <v/>
      </c>
      <c r="Z52" s="25" t="str">
        <f aca="false">IF($B52="","",IF($M52&lt;&gt;"Active","Closed",IF($X52="","",IF($X52&gt;$Y52,"BREACH","On Track"))))</f>
        <v/>
      </c>
      <c r="AA52" s="25" t="str">
        <f aca="false">IF($K52="","",IFERROR(INDEX(Lists!$E$4:$E$14,MATCH($K52,Lists!$A$4:$A$14,0)),""))</f>
        <v/>
      </c>
      <c r="AB52" s="27" t="str">
        <f aca="false">IF($U52&lt;&gt;"",$U52,IF(OR($T52="",$M52&lt;&gt;"Active"),"",$T52+N($R52)))</f>
        <v/>
      </c>
      <c r="AC52" s="25" t="str">
        <f aca="false">IF(OR($T52="",$J52=""),"",$T52-$J52)</f>
        <v/>
      </c>
      <c r="AD52" s="25" t="str">
        <f aca="false">IF(AND($K52="Joined",$U52&lt;&gt;"",$J52&lt;&gt;""),$U52-$J52,"")</f>
        <v/>
      </c>
      <c r="AE52" s="25" t="str">
        <f aca="false">IF($K52="","",IF(OR($K52="Rejected",$K52="Withdrawn"),IFERROR(INDEX(Lists!$B$4:$B$14,MATCH($N52,Lists!$A$4:$A$14,0)),1),IFERROR(INDEX(Lists!$B$4:$B$14,MATCH($K52,Lists!$A$4:$A$14,0)),0)))</f>
        <v/>
      </c>
    </row>
    <row r="53" customFormat="false" ht="15" hidden="false" customHeight="false" outlineLevel="0" collapsed="false">
      <c r="A53" s="25" t="str">
        <f aca="false">IF($B53="","","C-"&amp;TEXT(ROW()-1,"0000"))</f>
        <v/>
      </c>
      <c r="B53" s="21"/>
      <c r="C53" s="21"/>
      <c r="D53" s="21"/>
      <c r="E53" s="21"/>
      <c r="F53" s="25" t="str">
        <f aca="false">IF($E53="","",IFERROR(INDEX(Requisitions!$B$2:$B$101,MATCH($E53,Requisitions!$A$2:$A$101,0)),"Unknown Req"))</f>
        <v/>
      </c>
      <c r="G53" s="25" t="str">
        <f aca="false">IF($E53="","",IFERROR(INDEX(Requisitions!$D$2:$D$101,MATCH($E53,Requisitions!$A$2:$A$101,0)),""))</f>
        <v/>
      </c>
      <c r="H53" s="21"/>
      <c r="I53" s="21"/>
      <c r="J53" s="22"/>
      <c r="K53" s="21"/>
      <c r="L53" s="22"/>
      <c r="M53" s="25" t="str">
        <f aca="false">IF($K53="","",IFERROR(INDEX(Lists!$D$4:$D$14,MATCH($K53,Lists!$A$4:$A$14,0)),"Check stage"))</f>
        <v/>
      </c>
      <c r="N53" s="21"/>
      <c r="O53" s="21"/>
      <c r="P53" s="26"/>
      <c r="Q53" s="26"/>
      <c r="R53" s="21"/>
      <c r="S53" s="21"/>
      <c r="T53" s="22"/>
      <c r="U53" s="22"/>
      <c r="V53" s="24" t="str">
        <f aca="false">IF(OR(N($P53)=0,$Q53=""),"",$Q53/$P53-1)</f>
        <v/>
      </c>
      <c r="W53" s="25" t="str">
        <f aca="true">IF($J53="","",IF($M53="Active",TODAY(),IF($U53&lt;&gt;"",$U53,IF($L53&lt;&gt;"",$L53,TODAY())))-$J53)</f>
        <v/>
      </c>
      <c r="X53" s="25" t="str">
        <f aca="true">IF(OR($L53="",$M53&lt;&gt;"Active"),"",TODAY()-$L53)</f>
        <v/>
      </c>
      <c r="Y53" s="25" t="str">
        <f aca="false">IF($M53&lt;&gt;"Active","",INDEX(Lists!$C$4:$C$14,MATCH($K53,Lists!$A$4:$A$14,0)))</f>
        <v/>
      </c>
      <c r="Z53" s="25" t="str">
        <f aca="false">IF($B53="","",IF($M53&lt;&gt;"Active","Closed",IF($X53="","",IF($X53&gt;$Y53,"BREACH","On Track"))))</f>
        <v/>
      </c>
      <c r="AA53" s="25" t="str">
        <f aca="false">IF($K53="","",IFERROR(INDEX(Lists!$E$4:$E$14,MATCH($K53,Lists!$A$4:$A$14,0)),""))</f>
        <v/>
      </c>
      <c r="AB53" s="27" t="str">
        <f aca="false">IF($U53&lt;&gt;"",$U53,IF(OR($T53="",$M53&lt;&gt;"Active"),"",$T53+N($R53)))</f>
        <v/>
      </c>
      <c r="AC53" s="25" t="str">
        <f aca="false">IF(OR($T53="",$J53=""),"",$T53-$J53)</f>
        <v/>
      </c>
      <c r="AD53" s="25" t="str">
        <f aca="false">IF(AND($K53="Joined",$U53&lt;&gt;"",$J53&lt;&gt;""),$U53-$J53,"")</f>
        <v/>
      </c>
      <c r="AE53" s="25" t="str">
        <f aca="false">IF($K53="","",IF(OR($K53="Rejected",$K53="Withdrawn"),IFERROR(INDEX(Lists!$B$4:$B$14,MATCH($N53,Lists!$A$4:$A$14,0)),1),IFERROR(INDEX(Lists!$B$4:$B$14,MATCH($K53,Lists!$A$4:$A$14,0)),0)))</f>
        <v/>
      </c>
    </row>
    <row r="54" customFormat="false" ht="15" hidden="false" customHeight="false" outlineLevel="0" collapsed="false">
      <c r="A54" s="25" t="str">
        <f aca="false">IF($B54="","","C-"&amp;TEXT(ROW()-1,"0000"))</f>
        <v/>
      </c>
      <c r="B54" s="21"/>
      <c r="C54" s="21"/>
      <c r="D54" s="21"/>
      <c r="E54" s="21"/>
      <c r="F54" s="25" t="str">
        <f aca="false">IF($E54="","",IFERROR(INDEX(Requisitions!$B$2:$B$101,MATCH($E54,Requisitions!$A$2:$A$101,0)),"Unknown Req"))</f>
        <v/>
      </c>
      <c r="G54" s="25" t="str">
        <f aca="false">IF($E54="","",IFERROR(INDEX(Requisitions!$D$2:$D$101,MATCH($E54,Requisitions!$A$2:$A$101,0)),""))</f>
        <v/>
      </c>
      <c r="H54" s="21"/>
      <c r="I54" s="21"/>
      <c r="J54" s="22"/>
      <c r="K54" s="21"/>
      <c r="L54" s="22"/>
      <c r="M54" s="25" t="str">
        <f aca="false">IF($K54="","",IFERROR(INDEX(Lists!$D$4:$D$14,MATCH($K54,Lists!$A$4:$A$14,0)),"Check stage"))</f>
        <v/>
      </c>
      <c r="N54" s="21"/>
      <c r="O54" s="21"/>
      <c r="P54" s="26"/>
      <c r="Q54" s="26"/>
      <c r="R54" s="21"/>
      <c r="S54" s="21"/>
      <c r="T54" s="22"/>
      <c r="U54" s="22"/>
      <c r="V54" s="24" t="str">
        <f aca="false">IF(OR(N($P54)=0,$Q54=""),"",$Q54/$P54-1)</f>
        <v/>
      </c>
      <c r="W54" s="25" t="str">
        <f aca="true">IF($J54="","",IF($M54="Active",TODAY(),IF($U54&lt;&gt;"",$U54,IF($L54&lt;&gt;"",$L54,TODAY())))-$J54)</f>
        <v/>
      </c>
      <c r="X54" s="25" t="str">
        <f aca="true">IF(OR($L54="",$M54&lt;&gt;"Active"),"",TODAY()-$L54)</f>
        <v/>
      </c>
      <c r="Y54" s="25" t="str">
        <f aca="false">IF($M54&lt;&gt;"Active","",INDEX(Lists!$C$4:$C$14,MATCH($K54,Lists!$A$4:$A$14,0)))</f>
        <v/>
      </c>
      <c r="Z54" s="25" t="str">
        <f aca="false">IF($B54="","",IF($M54&lt;&gt;"Active","Closed",IF($X54="","",IF($X54&gt;$Y54,"BREACH","On Track"))))</f>
        <v/>
      </c>
      <c r="AA54" s="25" t="str">
        <f aca="false">IF($K54="","",IFERROR(INDEX(Lists!$E$4:$E$14,MATCH($K54,Lists!$A$4:$A$14,0)),""))</f>
        <v/>
      </c>
      <c r="AB54" s="27" t="str">
        <f aca="false">IF($U54&lt;&gt;"",$U54,IF(OR($T54="",$M54&lt;&gt;"Active"),"",$T54+N($R54)))</f>
        <v/>
      </c>
      <c r="AC54" s="25" t="str">
        <f aca="false">IF(OR($T54="",$J54=""),"",$T54-$J54)</f>
        <v/>
      </c>
      <c r="AD54" s="25" t="str">
        <f aca="false">IF(AND($K54="Joined",$U54&lt;&gt;"",$J54&lt;&gt;""),$U54-$J54,"")</f>
        <v/>
      </c>
      <c r="AE54" s="25" t="str">
        <f aca="false">IF($K54="","",IF(OR($K54="Rejected",$K54="Withdrawn"),IFERROR(INDEX(Lists!$B$4:$B$14,MATCH($N54,Lists!$A$4:$A$14,0)),1),IFERROR(INDEX(Lists!$B$4:$B$14,MATCH($K54,Lists!$A$4:$A$14,0)),0)))</f>
        <v/>
      </c>
    </row>
    <row r="55" customFormat="false" ht="15" hidden="false" customHeight="false" outlineLevel="0" collapsed="false">
      <c r="A55" s="25" t="str">
        <f aca="false">IF($B55="","","C-"&amp;TEXT(ROW()-1,"0000"))</f>
        <v/>
      </c>
      <c r="B55" s="21"/>
      <c r="C55" s="21"/>
      <c r="D55" s="21"/>
      <c r="E55" s="21"/>
      <c r="F55" s="25" t="str">
        <f aca="false">IF($E55="","",IFERROR(INDEX(Requisitions!$B$2:$B$101,MATCH($E55,Requisitions!$A$2:$A$101,0)),"Unknown Req"))</f>
        <v/>
      </c>
      <c r="G55" s="25" t="str">
        <f aca="false">IF($E55="","",IFERROR(INDEX(Requisitions!$D$2:$D$101,MATCH($E55,Requisitions!$A$2:$A$101,0)),""))</f>
        <v/>
      </c>
      <c r="H55" s="21"/>
      <c r="I55" s="21"/>
      <c r="J55" s="22"/>
      <c r="K55" s="21"/>
      <c r="L55" s="22"/>
      <c r="M55" s="25" t="str">
        <f aca="false">IF($K55="","",IFERROR(INDEX(Lists!$D$4:$D$14,MATCH($K55,Lists!$A$4:$A$14,0)),"Check stage"))</f>
        <v/>
      </c>
      <c r="N55" s="21"/>
      <c r="O55" s="21"/>
      <c r="P55" s="26"/>
      <c r="Q55" s="26"/>
      <c r="R55" s="21"/>
      <c r="S55" s="21"/>
      <c r="T55" s="22"/>
      <c r="U55" s="22"/>
      <c r="V55" s="24" t="str">
        <f aca="false">IF(OR(N($P55)=0,$Q55=""),"",$Q55/$P55-1)</f>
        <v/>
      </c>
      <c r="W55" s="25" t="str">
        <f aca="true">IF($J55="","",IF($M55="Active",TODAY(),IF($U55&lt;&gt;"",$U55,IF($L55&lt;&gt;"",$L55,TODAY())))-$J55)</f>
        <v/>
      </c>
      <c r="X55" s="25" t="str">
        <f aca="true">IF(OR($L55="",$M55&lt;&gt;"Active"),"",TODAY()-$L55)</f>
        <v/>
      </c>
      <c r="Y55" s="25" t="str">
        <f aca="false">IF($M55&lt;&gt;"Active","",INDEX(Lists!$C$4:$C$14,MATCH($K55,Lists!$A$4:$A$14,0)))</f>
        <v/>
      </c>
      <c r="Z55" s="25" t="str">
        <f aca="false">IF($B55="","",IF($M55&lt;&gt;"Active","Closed",IF($X55="","",IF($X55&gt;$Y55,"BREACH","On Track"))))</f>
        <v/>
      </c>
      <c r="AA55" s="25" t="str">
        <f aca="false">IF($K55="","",IFERROR(INDEX(Lists!$E$4:$E$14,MATCH($K55,Lists!$A$4:$A$14,0)),""))</f>
        <v/>
      </c>
      <c r="AB55" s="27" t="str">
        <f aca="false">IF($U55&lt;&gt;"",$U55,IF(OR($T55="",$M55&lt;&gt;"Active"),"",$T55+N($R55)))</f>
        <v/>
      </c>
      <c r="AC55" s="25" t="str">
        <f aca="false">IF(OR($T55="",$J55=""),"",$T55-$J55)</f>
        <v/>
      </c>
      <c r="AD55" s="25" t="str">
        <f aca="false">IF(AND($K55="Joined",$U55&lt;&gt;"",$J55&lt;&gt;""),$U55-$J55,"")</f>
        <v/>
      </c>
      <c r="AE55" s="25" t="str">
        <f aca="false">IF($K55="","",IF(OR($K55="Rejected",$K55="Withdrawn"),IFERROR(INDEX(Lists!$B$4:$B$14,MATCH($N55,Lists!$A$4:$A$14,0)),1),IFERROR(INDEX(Lists!$B$4:$B$14,MATCH($K55,Lists!$A$4:$A$14,0)),0)))</f>
        <v/>
      </c>
    </row>
    <row r="56" customFormat="false" ht="15" hidden="false" customHeight="false" outlineLevel="0" collapsed="false">
      <c r="A56" s="25" t="str">
        <f aca="false">IF($B56="","","C-"&amp;TEXT(ROW()-1,"0000"))</f>
        <v/>
      </c>
      <c r="B56" s="21"/>
      <c r="C56" s="21"/>
      <c r="D56" s="21"/>
      <c r="E56" s="21"/>
      <c r="F56" s="25" t="str">
        <f aca="false">IF($E56="","",IFERROR(INDEX(Requisitions!$B$2:$B$101,MATCH($E56,Requisitions!$A$2:$A$101,0)),"Unknown Req"))</f>
        <v/>
      </c>
      <c r="G56" s="25" t="str">
        <f aca="false">IF($E56="","",IFERROR(INDEX(Requisitions!$D$2:$D$101,MATCH($E56,Requisitions!$A$2:$A$101,0)),""))</f>
        <v/>
      </c>
      <c r="H56" s="21"/>
      <c r="I56" s="21"/>
      <c r="J56" s="22"/>
      <c r="K56" s="21"/>
      <c r="L56" s="22"/>
      <c r="M56" s="25" t="str">
        <f aca="false">IF($K56="","",IFERROR(INDEX(Lists!$D$4:$D$14,MATCH($K56,Lists!$A$4:$A$14,0)),"Check stage"))</f>
        <v/>
      </c>
      <c r="N56" s="21"/>
      <c r="O56" s="21"/>
      <c r="P56" s="26"/>
      <c r="Q56" s="26"/>
      <c r="R56" s="21"/>
      <c r="S56" s="21"/>
      <c r="T56" s="22"/>
      <c r="U56" s="22"/>
      <c r="V56" s="24" t="str">
        <f aca="false">IF(OR(N($P56)=0,$Q56=""),"",$Q56/$P56-1)</f>
        <v/>
      </c>
      <c r="W56" s="25" t="str">
        <f aca="true">IF($J56="","",IF($M56="Active",TODAY(),IF($U56&lt;&gt;"",$U56,IF($L56&lt;&gt;"",$L56,TODAY())))-$J56)</f>
        <v/>
      </c>
      <c r="X56" s="25" t="str">
        <f aca="true">IF(OR($L56="",$M56&lt;&gt;"Active"),"",TODAY()-$L56)</f>
        <v/>
      </c>
      <c r="Y56" s="25" t="str">
        <f aca="false">IF($M56&lt;&gt;"Active","",INDEX(Lists!$C$4:$C$14,MATCH($K56,Lists!$A$4:$A$14,0)))</f>
        <v/>
      </c>
      <c r="Z56" s="25" t="str">
        <f aca="false">IF($B56="","",IF($M56&lt;&gt;"Active","Closed",IF($X56="","",IF($X56&gt;$Y56,"BREACH","On Track"))))</f>
        <v/>
      </c>
      <c r="AA56" s="25" t="str">
        <f aca="false">IF($K56="","",IFERROR(INDEX(Lists!$E$4:$E$14,MATCH($K56,Lists!$A$4:$A$14,0)),""))</f>
        <v/>
      </c>
      <c r="AB56" s="27" t="str">
        <f aca="false">IF($U56&lt;&gt;"",$U56,IF(OR($T56="",$M56&lt;&gt;"Active"),"",$T56+N($R56)))</f>
        <v/>
      </c>
      <c r="AC56" s="25" t="str">
        <f aca="false">IF(OR($T56="",$J56=""),"",$T56-$J56)</f>
        <v/>
      </c>
      <c r="AD56" s="25" t="str">
        <f aca="false">IF(AND($K56="Joined",$U56&lt;&gt;"",$J56&lt;&gt;""),$U56-$J56,"")</f>
        <v/>
      </c>
      <c r="AE56" s="25" t="str">
        <f aca="false">IF($K56="","",IF(OR($K56="Rejected",$K56="Withdrawn"),IFERROR(INDEX(Lists!$B$4:$B$14,MATCH($N56,Lists!$A$4:$A$14,0)),1),IFERROR(INDEX(Lists!$B$4:$B$14,MATCH($K56,Lists!$A$4:$A$14,0)),0)))</f>
        <v/>
      </c>
    </row>
    <row r="57" customFormat="false" ht="15" hidden="false" customHeight="false" outlineLevel="0" collapsed="false">
      <c r="A57" s="25" t="str">
        <f aca="false">IF($B57="","","C-"&amp;TEXT(ROW()-1,"0000"))</f>
        <v/>
      </c>
      <c r="B57" s="21"/>
      <c r="C57" s="21"/>
      <c r="D57" s="21"/>
      <c r="E57" s="21"/>
      <c r="F57" s="25" t="str">
        <f aca="false">IF($E57="","",IFERROR(INDEX(Requisitions!$B$2:$B$101,MATCH($E57,Requisitions!$A$2:$A$101,0)),"Unknown Req"))</f>
        <v/>
      </c>
      <c r="G57" s="25" t="str">
        <f aca="false">IF($E57="","",IFERROR(INDEX(Requisitions!$D$2:$D$101,MATCH($E57,Requisitions!$A$2:$A$101,0)),""))</f>
        <v/>
      </c>
      <c r="H57" s="21"/>
      <c r="I57" s="21"/>
      <c r="J57" s="22"/>
      <c r="K57" s="21"/>
      <c r="L57" s="22"/>
      <c r="M57" s="25" t="str">
        <f aca="false">IF($K57="","",IFERROR(INDEX(Lists!$D$4:$D$14,MATCH($K57,Lists!$A$4:$A$14,0)),"Check stage"))</f>
        <v/>
      </c>
      <c r="N57" s="21"/>
      <c r="O57" s="21"/>
      <c r="P57" s="26"/>
      <c r="Q57" s="26"/>
      <c r="R57" s="21"/>
      <c r="S57" s="21"/>
      <c r="T57" s="22"/>
      <c r="U57" s="22"/>
      <c r="V57" s="24" t="str">
        <f aca="false">IF(OR(N($P57)=0,$Q57=""),"",$Q57/$P57-1)</f>
        <v/>
      </c>
      <c r="W57" s="25" t="str">
        <f aca="true">IF($J57="","",IF($M57="Active",TODAY(),IF($U57&lt;&gt;"",$U57,IF($L57&lt;&gt;"",$L57,TODAY())))-$J57)</f>
        <v/>
      </c>
      <c r="X57" s="25" t="str">
        <f aca="true">IF(OR($L57="",$M57&lt;&gt;"Active"),"",TODAY()-$L57)</f>
        <v/>
      </c>
      <c r="Y57" s="25" t="str">
        <f aca="false">IF($M57&lt;&gt;"Active","",INDEX(Lists!$C$4:$C$14,MATCH($K57,Lists!$A$4:$A$14,0)))</f>
        <v/>
      </c>
      <c r="Z57" s="25" t="str">
        <f aca="false">IF($B57="","",IF($M57&lt;&gt;"Active","Closed",IF($X57="","",IF($X57&gt;$Y57,"BREACH","On Track"))))</f>
        <v/>
      </c>
      <c r="AA57" s="25" t="str">
        <f aca="false">IF($K57="","",IFERROR(INDEX(Lists!$E$4:$E$14,MATCH($K57,Lists!$A$4:$A$14,0)),""))</f>
        <v/>
      </c>
      <c r="AB57" s="27" t="str">
        <f aca="false">IF($U57&lt;&gt;"",$U57,IF(OR($T57="",$M57&lt;&gt;"Active"),"",$T57+N($R57)))</f>
        <v/>
      </c>
      <c r="AC57" s="25" t="str">
        <f aca="false">IF(OR($T57="",$J57=""),"",$T57-$J57)</f>
        <v/>
      </c>
      <c r="AD57" s="25" t="str">
        <f aca="false">IF(AND($K57="Joined",$U57&lt;&gt;"",$J57&lt;&gt;""),$U57-$J57,"")</f>
        <v/>
      </c>
      <c r="AE57" s="25" t="str">
        <f aca="false">IF($K57="","",IF(OR($K57="Rejected",$K57="Withdrawn"),IFERROR(INDEX(Lists!$B$4:$B$14,MATCH($N57,Lists!$A$4:$A$14,0)),1),IFERROR(INDEX(Lists!$B$4:$B$14,MATCH($K57,Lists!$A$4:$A$14,0)),0)))</f>
        <v/>
      </c>
    </row>
    <row r="58" customFormat="false" ht="15" hidden="false" customHeight="false" outlineLevel="0" collapsed="false">
      <c r="A58" s="25" t="str">
        <f aca="false">IF($B58="","","C-"&amp;TEXT(ROW()-1,"0000"))</f>
        <v/>
      </c>
      <c r="B58" s="21"/>
      <c r="C58" s="21"/>
      <c r="D58" s="21"/>
      <c r="E58" s="21"/>
      <c r="F58" s="25" t="str">
        <f aca="false">IF($E58="","",IFERROR(INDEX(Requisitions!$B$2:$B$101,MATCH($E58,Requisitions!$A$2:$A$101,0)),"Unknown Req"))</f>
        <v/>
      </c>
      <c r="G58" s="25" t="str">
        <f aca="false">IF($E58="","",IFERROR(INDEX(Requisitions!$D$2:$D$101,MATCH($E58,Requisitions!$A$2:$A$101,0)),""))</f>
        <v/>
      </c>
      <c r="H58" s="21"/>
      <c r="I58" s="21"/>
      <c r="J58" s="22"/>
      <c r="K58" s="21"/>
      <c r="L58" s="22"/>
      <c r="M58" s="25" t="str">
        <f aca="false">IF($K58="","",IFERROR(INDEX(Lists!$D$4:$D$14,MATCH($K58,Lists!$A$4:$A$14,0)),"Check stage"))</f>
        <v/>
      </c>
      <c r="N58" s="21"/>
      <c r="O58" s="21"/>
      <c r="P58" s="26"/>
      <c r="Q58" s="26"/>
      <c r="R58" s="21"/>
      <c r="S58" s="21"/>
      <c r="T58" s="22"/>
      <c r="U58" s="22"/>
      <c r="V58" s="24" t="str">
        <f aca="false">IF(OR(N($P58)=0,$Q58=""),"",$Q58/$P58-1)</f>
        <v/>
      </c>
      <c r="W58" s="25" t="str">
        <f aca="true">IF($J58="","",IF($M58="Active",TODAY(),IF($U58&lt;&gt;"",$U58,IF($L58&lt;&gt;"",$L58,TODAY())))-$J58)</f>
        <v/>
      </c>
      <c r="X58" s="25" t="str">
        <f aca="true">IF(OR($L58="",$M58&lt;&gt;"Active"),"",TODAY()-$L58)</f>
        <v/>
      </c>
      <c r="Y58" s="25" t="str">
        <f aca="false">IF($M58&lt;&gt;"Active","",INDEX(Lists!$C$4:$C$14,MATCH($K58,Lists!$A$4:$A$14,0)))</f>
        <v/>
      </c>
      <c r="Z58" s="25" t="str">
        <f aca="false">IF($B58="","",IF($M58&lt;&gt;"Active","Closed",IF($X58="","",IF($X58&gt;$Y58,"BREACH","On Track"))))</f>
        <v/>
      </c>
      <c r="AA58" s="25" t="str">
        <f aca="false">IF($K58="","",IFERROR(INDEX(Lists!$E$4:$E$14,MATCH($K58,Lists!$A$4:$A$14,0)),""))</f>
        <v/>
      </c>
      <c r="AB58" s="27" t="str">
        <f aca="false">IF($U58&lt;&gt;"",$U58,IF(OR($T58="",$M58&lt;&gt;"Active"),"",$T58+N($R58)))</f>
        <v/>
      </c>
      <c r="AC58" s="25" t="str">
        <f aca="false">IF(OR($T58="",$J58=""),"",$T58-$J58)</f>
        <v/>
      </c>
      <c r="AD58" s="25" t="str">
        <f aca="false">IF(AND($K58="Joined",$U58&lt;&gt;"",$J58&lt;&gt;""),$U58-$J58,"")</f>
        <v/>
      </c>
      <c r="AE58" s="25" t="str">
        <f aca="false">IF($K58="","",IF(OR($K58="Rejected",$K58="Withdrawn"),IFERROR(INDEX(Lists!$B$4:$B$14,MATCH($N58,Lists!$A$4:$A$14,0)),1),IFERROR(INDEX(Lists!$B$4:$B$14,MATCH($K58,Lists!$A$4:$A$14,0)),0)))</f>
        <v/>
      </c>
    </row>
    <row r="59" customFormat="false" ht="15" hidden="false" customHeight="false" outlineLevel="0" collapsed="false">
      <c r="A59" s="25" t="str">
        <f aca="false">IF($B59="","","C-"&amp;TEXT(ROW()-1,"0000"))</f>
        <v/>
      </c>
      <c r="B59" s="21"/>
      <c r="C59" s="21"/>
      <c r="D59" s="21"/>
      <c r="E59" s="21"/>
      <c r="F59" s="25" t="str">
        <f aca="false">IF($E59="","",IFERROR(INDEX(Requisitions!$B$2:$B$101,MATCH($E59,Requisitions!$A$2:$A$101,0)),"Unknown Req"))</f>
        <v/>
      </c>
      <c r="G59" s="25" t="str">
        <f aca="false">IF($E59="","",IFERROR(INDEX(Requisitions!$D$2:$D$101,MATCH($E59,Requisitions!$A$2:$A$101,0)),""))</f>
        <v/>
      </c>
      <c r="H59" s="21"/>
      <c r="I59" s="21"/>
      <c r="J59" s="22"/>
      <c r="K59" s="21"/>
      <c r="L59" s="22"/>
      <c r="M59" s="25" t="str">
        <f aca="false">IF($K59="","",IFERROR(INDEX(Lists!$D$4:$D$14,MATCH($K59,Lists!$A$4:$A$14,0)),"Check stage"))</f>
        <v/>
      </c>
      <c r="N59" s="21"/>
      <c r="O59" s="21"/>
      <c r="P59" s="26"/>
      <c r="Q59" s="26"/>
      <c r="R59" s="21"/>
      <c r="S59" s="21"/>
      <c r="T59" s="22"/>
      <c r="U59" s="22"/>
      <c r="V59" s="24" t="str">
        <f aca="false">IF(OR(N($P59)=0,$Q59=""),"",$Q59/$P59-1)</f>
        <v/>
      </c>
      <c r="W59" s="25" t="str">
        <f aca="true">IF($J59="","",IF($M59="Active",TODAY(),IF($U59&lt;&gt;"",$U59,IF($L59&lt;&gt;"",$L59,TODAY())))-$J59)</f>
        <v/>
      </c>
      <c r="X59" s="25" t="str">
        <f aca="true">IF(OR($L59="",$M59&lt;&gt;"Active"),"",TODAY()-$L59)</f>
        <v/>
      </c>
      <c r="Y59" s="25" t="str">
        <f aca="false">IF($M59&lt;&gt;"Active","",INDEX(Lists!$C$4:$C$14,MATCH($K59,Lists!$A$4:$A$14,0)))</f>
        <v/>
      </c>
      <c r="Z59" s="25" t="str">
        <f aca="false">IF($B59="","",IF($M59&lt;&gt;"Active","Closed",IF($X59="","",IF($X59&gt;$Y59,"BREACH","On Track"))))</f>
        <v/>
      </c>
      <c r="AA59" s="25" t="str">
        <f aca="false">IF($K59="","",IFERROR(INDEX(Lists!$E$4:$E$14,MATCH($K59,Lists!$A$4:$A$14,0)),""))</f>
        <v/>
      </c>
      <c r="AB59" s="27" t="str">
        <f aca="false">IF($U59&lt;&gt;"",$U59,IF(OR($T59="",$M59&lt;&gt;"Active"),"",$T59+N($R59)))</f>
        <v/>
      </c>
      <c r="AC59" s="25" t="str">
        <f aca="false">IF(OR($T59="",$J59=""),"",$T59-$J59)</f>
        <v/>
      </c>
      <c r="AD59" s="25" t="str">
        <f aca="false">IF(AND($K59="Joined",$U59&lt;&gt;"",$J59&lt;&gt;""),$U59-$J59,"")</f>
        <v/>
      </c>
      <c r="AE59" s="25" t="str">
        <f aca="false">IF($K59="","",IF(OR($K59="Rejected",$K59="Withdrawn"),IFERROR(INDEX(Lists!$B$4:$B$14,MATCH($N59,Lists!$A$4:$A$14,0)),1),IFERROR(INDEX(Lists!$B$4:$B$14,MATCH($K59,Lists!$A$4:$A$14,0)),0)))</f>
        <v/>
      </c>
    </row>
    <row r="60" customFormat="false" ht="15" hidden="false" customHeight="false" outlineLevel="0" collapsed="false">
      <c r="A60" s="25" t="str">
        <f aca="false">IF($B60="","","C-"&amp;TEXT(ROW()-1,"0000"))</f>
        <v/>
      </c>
      <c r="B60" s="21"/>
      <c r="C60" s="21"/>
      <c r="D60" s="21"/>
      <c r="E60" s="21"/>
      <c r="F60" s="25" t="str">
        <f aca="false">IF($E60="","",IFERROR(INDEX(Requisitions!$B$2:$B$101,MATCH($E60,Requisitions!$A$2:$A$101,0)),"Unknown Req"))</f>
        <v/>
      </c>
      <c r="G60" s="25" t="str">
        <f aca="false">IF($E60="","",IFERROR(INDEX(Requisitions!$D$2:$D$101,MATCH($E60,Requisitions!$A$2:$A$101,0)),""))</f>
        <v/>
      </c>
      <c r="H60" s="21"/>
      <c r="I60" s="21"/>
      <c r="J60" s="22"/>
      <c r="K60" s="21"/>
      <c r="L60" s="22"/>
      <c r="M60" s="25" t="str">
        <f aca="false">IF($K60="","",IFERROR(INDEX(Lists!$D$4:$D$14,MATCH($K60,Lists!$A$4:$A$14,0)),"Check stage"))</f>
        <v/>
      </c>
      <c r="N60" s="21"/>
      <c r="O60" s="21"/>
      <c r="P60" s="26"/>
      <c r="Q60" s="26"/>
      <c r="R60" s="21"/>
      <c r="S60" s="21"/>
      <c r="T60" s="22"/>
      <c r="U60" s="22"/>
      <c r="V60" s="24" t="str">
        <f aca="false">IF(OR(N($P60)=0,$Q60=""),"",$Q60/$P60-1)</f>
        <v/>
      </c>
      <c r="W60" s="25" t="str">
        <f aca="true">IF($J60="","",IF($M60="Active",TODAY(),IF($U60&lt;&gt;"",$U60,IF($L60&lt;&gt;"",$L60,TODAY())))-$J60)</f>
        <v/>
      </c>
      <c r="X60" s="25" t="str">
        <f aca="true">IF(OR($L60="",$M60&lt;&gt;"Active"),"",TODAY()-$L60)</f>
        <v/>
      </c>
      <c r="Y60" s="25" t="str">
        <f aca="false">IF($M60&lt;&gt;"Active","",INDEX(Lists!$C$4:$C$14,MATCH($K60,Lists!$A$4:$A$14,0)))</f>
        <v/>
      </c>
      <c r="Z60" s="25" t="str">
        <f aca="false">IF($B60="","",IF($M60&lt;&gt;"Active","Closed",IF($X60="","",IF($X60&gt;$Y60,"BREACH","On Track"))))</f>
        <v/>
      </c>
      <c r="AA60" s="25" t="str">
        <f aca="false">IF($K60="","",IFERROR(INDEX(Lists!$E$4:$E$14,MATCH($K60,Lists!$A$4:$A$14,0)),""))</f>
        <v/>
      </c>
      <c r="AB60" s="27" t="str">
        <f aca="false">IF($U60&lt;&gt;"",$U60,IF(OR($T60="",$M60&lt;&gt;"Active"),"",$T60+N($R60)))</f>
        <v/>
      </c>
      <c r="AC60" s="25" t="str">
        <f aca="false">IF(OR($T60="",$J60=""),"",$T60-$J60)</f>
        <v/>
      </c>
      <c r="AD60" s="25" t="str">
        <f aca="false">IF(AND($K60="Joined",$U60&lt;&gt;"",$J60&lt;&gt;""),$U60-$J60,"")</f>
        <v/>
      </c>
      <c r="AE60" s="25" t="str">
        <f aca="false">IF($K60="","",IF(OR($K60="Rejected",$K60="Withdrawn"),IFERROR(INDEX(Lists!$B$4:$B$14,MATCH($N60,Lists!$A$4:$A$14,0)),1),IFERROR(INDEX(Lists!$B$4:$B$14,MATCH($K60,Lists!$A$4:$A$14,0)),0)))</f>
        <v/>
      </c>
    </row>
    <row r="61" customFormat="false" ht="15" hidden="false" customHeight="false" outlineLevel="0" collapsed="false">
      <c r="A61" s="25" t="str">
        <f aca="false">IF($B61="","","C-"&amp;TEXT(ROW()-1,"0000"))</f>
        <v/>
      </c>
      <c r="B61" s="21"/>
      <c r="C61" s="21"/>
      <c r="D61" s="21"/>
      <c r="E61" s="21"/>
      <c r="F61" s="25" t="str">
        <f aca="false">IF($E61="","",IFERROR(INDEX(Requisitions!$B$2:$B$101,MATCH($E61,Requisitions!$A$2:$A$101,0)),"Unknown Req"))</f>
        <v/>
      </c>
      <c r="G61" s="25" t="str">
        <f aca="false">IF($E61="","",IFERROR(INDEX(Requisitions!$D$2:$D$101,MATCH($E61,Requisitions!$A$2:$A$101,0)),""))</f>
        <v/>
      </c>
      <c r="H61" s="21"/>
      <c r="I61" s="21"/>
      <c r="J61" s="22"/>
      <c r="K61" s="21"/>
      <c r="L61" s="22"/>
      <c r="M61" s="25" t="str">
        <f aca="false">IF($K61="","",IFERROR(INDEX(Lists!$D$4:$D$14,MATCH($K61,Lists!$A$4:$A$14,0)),"Check stage"))</f>
        <v/>
      </c>
      <c r="N61" s="21"/>
      <c r="O61" s="21"/>
      <c r="P61" s="26"/>
      <c r="Q61" s="26"/>
      <c r="R61" s="21"/>
      <c r="S61" s="21"/>
      <c r="T61" s="22"/>
      <c r="U61" s="22"/>
      <c r="V61" s="24" t="str">
        <f aca="false">IF(OR(N($P61)=0,$Q61=""),"",$Q61/$P61-1)</f>
        <v/>
      </c>
      <c r="W61" s="25" t="str">
        <f aca="true">IF($J61="","",IF($M61="Active",TODAY(),IF($U61&lt;&gt;"",$U61,IF($L61&lt;&gt;"",$L61,TODAY())))-$J61)</f>
        <v/>
      </c>
      <c r="X61" s="25" t="str">
        <f aca="true">IF(OR($L61="",$M61&lt;&gt;"Active"),"",TODAY()-$L61)</f>
        <v/>
      </c>
      <c r="Y61" s="25" t="str">
        <f aca="false">IF($M61&lt;&gt;"Active","",INDEX(Lists!$C$4:$C$14,MATCH($K61,Lists!$A$4:$A$14,0)))</f>
        <v/>
      </c>
      <c r="Z61" s="25" t="str">
        <f aca="false">IF($B61="","",IF($M61&lt;&gt;"Active","Closed",IF($X61="","",IF($X61&gt;$Y61,"BREACH","On Track"))))</f>
        <v/>
      </c>
      <c r="AA61" s="25" t="str">
        <f aca="false">IF($K61="","",IFERROR(INDEX(Lists!$E$4:$E$14,MATCH($K61,Lists!$A$4:$A$14,0)),""))</f>
        <v/>
      </c>
      <c r="AB61" s="27" t="str">
        <f aca="false">IF($U61&lt;&gt;"",$U61,IF(OR($T61="",$M61&lt;&gt;"Active"),"",$T61+N($R61)))</f>
        <v/>
      </c>
      <c r="AC61" s="25" t="str">
        <f aca="false">IF(OR($T61="",$J61=""),"",$T61-$J61)</f>
        <v/>
      </c>
      <c r="AD61" s="25" t="str">
        <f aca="false">IF(AND($K61="Joined",$U61&lt;&gt;"",$J61&lt;&gt;""),$U61-$J61,"")</f>
        <v/>
      </c>
      <c r="AE61" s="25" t="str">
        <f aca="false">IF($K61="","",IF(OR($K61="Rejected",$K61="Withdrawn"),IFERROR(INDEX(Lists!$B$4:$B$14,MATCH($N61,Lists!$A$4:$A$14,0)),1),IFERROR(INDEX(Lists!$B$4:$B$14,MATCH($K61,Lists!$A$4:$A$14,0)),0)))</f>
        <v/>
      </c>
    </row>
    <row r="62" customFormat="false" ht="15" hidden="false" customHeight="false" outlineLevel="0" collapsed="false">
      <c r="A62" s="25" t="str">
        <f aca="false">IF($B62="","","C-"&amp;TEXT(ROW()-1,"0000"))</f>
        <v/>
      </c>
      <c r="B62" s="21"/>
      <c r="C62" s="21"/>
      <c r="D62" s="21"/>
      <c r="E62" s="21"/>
      <c r="F62" s="25" t="str">
        <f aca="false">IF($E62="","",IFERROR(INDEX(Requisitions!$B$2:$B$101,MATCH($E62,Requisitions!$A$2:$A$101,0)),"Unknown Req"))</f>
        <v/>
      </c>
      <c r="G62" s="25" t="str">
        <f aca="false">IF($E62="","",IFERROR(INDEX(Requisitions!$D$2:$D$101,MATCH($E62,Requisitions!$A$2:$A$101,0)),""))</f>
        <v/>
      </c>
      <c r="H62" s="21"/>
      <c r="I62" s="21"/>
      <c r="J62" s="22"/>
      <c r="K62" s="21"/>
      <c r="L62" s="22"/>
      <c r="M62" s="25" t="str">
        <f aca="false">IF($K62="","",IFERROR(INDEX(Lists!$D$4:$D$14,MATCH($K62,Lists!$A$4:$A$14,0)),"Check stage"))</f>
        <v/>
      </c>
      <c r="N62" s="21"/>
      <c r="O62" s="21"/>
      <c r="P62" s="26"/>
      <c r="Q62" s="26"/>
      <c r="R62" s="21"/>
      <c r="S62" s="21"/>
      <c r="T62" s="22"/>
      <c r="U62" s="22"/>
      <c r="V62" s="24" t="str">
        <f aca="false">IF(OR(N($P62)=0,$Q62=""),"",$Q62/$P62-1)</f>
        <v/>
      </c>
      <c r="W62" s="25" t="str">
        <f aca="true">IF($J62="","",IF($M62="Active",TODAY(),IF($U62&lt;&gt;"",$U62,IF($L62&lt;&gt;"",$L62,TODAY())))-$J62)</f>
        <v/>
      </c>
      <c r="X62" s="25" t="str">
        <f aca="true">IF(OR($L62="",$M62&lt;&gt;"Active"),"",TODAY()-$L62)</f>
        <v/>
      </c>
      <c r="Y62" s="25" t="str">
        <f aca="false">IF($M62&lt;&gt;"Active","",INDEX(Lists!$C$4:$C$14,MATCH($K62,Lists!$A$4:$A$14,0)))</f>
        <v/>
      </c>
      <c r="Z62" s="25" t="str">
        <f aca="false">IF($B62="","",IF($M62&lt;&gt;"Active","Closed",IF($X62="","",IF($X62&gt;$Y62,"BREACH","On Track"))))</f>
        <v/>
      </c>
      <c r="AA62" s="25" t="str">
        <f aca="false">IF($K62="","",IFERROR(INDEX(Lists!$E$4:$E$14,MATCH($K62,Lists!$A$4:$A$14,0)),""))</f>
        <v/>
      </c>
      <c r="AB62" s="27" t="str">
        <f aca="false">IF($U62&lt;&gt;"",$U62,IF(OR($T62="",$M62&lt;&gt;"Active"),"",$T62+N($R62)))</f>
        <v/>
      </c>
      <c r="AC62" s="25" t="str">
        <f aca="false">IF(OR($T62="",$J62=""),"",$T62-$J62)</f>
        <v/>
      </c>
      <c r="AD62" s="25" t="str">
        <f aca="false">IF(AND($K62="Joined",$U62&lt;&gt;"",$J62&lt;&gt;""),$U62-$J62,"")</f>
        <v/>
      </c>
      <c r="AE62" s="25" t="str">
        <f aca="false">IF($K62="","",IF(OR($K62="Rejected",$K62="Withdrawn"),IFERROR(INDEX(Lists!$B$4:$B$14,MATCH($N62,Lists!$A$4:$A$14,0)),1),IFERROR(INDEX(Lists!$B$4:$B$14,MATCH($K62,Lists!$A$4:$A$14,0)),0)))</f>
        <v/>
      </c>
    </row>
    <row r="63" customFormat="false" ht="15" hidden="false" customHeight="false" outlineLevel="0" collapsed="false">
      <c r="A63" s="25" t="str">
        <f aca="false">IF($B63="","","C-"&amp;TEXT(ROW()-1,"0000"))</f>
        <v/>
      </c>
      <c r="B63" s="21"/>
      <c r="C63" s="21"/>
      <c r="D63" s="21"/>
      <c r="E63" s="21"/>
      <c r="F63" s="25" t="str">
        <f aca="false">IF($E63="","",IFERROR(INDEX(Requisitions!$B$2:$B$101,MATCH($E63,Requisitions!$A$2:$A$101,0)),"Unknown Req"))</f>
        <v/>
      </c>
      <c r="G63" s="25" t="str">
        <f aca="false">IF($E63="","",IFERROR(INDEX(Requisitions!$D$2:$D$101,MATCH($E63,Requisitions!$A$2:$A$101,0)),""))</f>
        <v/>
      </c>
      <c r="H63" s="21"/>
      <c r="I63" s="21"/>
      <c r="J63" s="22"/>
      <c r="K63" s="21"/>
      <c r="L63" s="22"/>
      <c r="M63" s="25" t="str">
        <f aca="false">IF($K63="","",IFERROR(INDEX(Lists!$D$4:$D$14,MATCH($K63,Lists!$A$4:$A$14,0)),"Check stage"))</f>
        <v/>
      </c>
      <c r="N63" s="21"/>
      <c r="O63" s="21"/>
      <c r="P63" s="26"/>
      <c r="Q63" s="26"/>
      <c r="R63" s="21"/>
      <c r="S63" s="21"/>
      <c r="T63" s="22"/>
      <c r="U63" s="22"/>
      <c r="V63" s="24" t="str">
        <f aca="false">IF(OR(N($P63)=0,$Q63=""),"",$Q63/$P63-1)</f>
        <v/>
      </c>
      <c r="W63" s="25" t="str">
        <f aca="true">IF($J63="","",IF($M63="Active",TODAY(),IF($U63&lt;&gt;"",$U63,IF($L63&lt;&gt;"",$L63,TODAY())))-$J63)</f>
        <v/>
      </c>
      <c r="X63" s="25" t="str">
        <f aca="true">IF(OR($L63="",$M63&lt;&gt;"Active"),"",TODAY()-$L63)</f>
        <v/>
      </c>
      <c r="Y63" s="25" t="str">
        <f aca="false">IF($M63&lt;&gt;"Active","",INDEX(Lists!$C$4:$C$14,MATCH($K63,Lists!$A$4:$A$14,0)))</f>
        <v/>
      </c>
      <c r="Z63" s="25" t="str">
        <f aca="false">IF($B63="","",IF($M63&lt;&gt;"Active","Closed",IF($X63="","",IF($X63&gt;$Y63,"BREACH","On Track"))))</f>
        <v/>
      </c>
      <c r="AA63" s="25" t="str">
        <f aca="false">IF($K63="","",IFERROR(INDEX(Lists!$E$4:$E$14,MATCH($K63,Lists!$A$4:$A$14,0)),""))</f>
        <v/>
      </c>
      <c r="AB63" s="27" t="str">
        <f aca="false">IF($U63&lt;&gt;"",$U63,IF(OR($T63="",$M63&lt;&gt;"Active"),"",$T63+N($R63)))</f>
        <v/>
      </c>
      <c r="AC63" s="25" t="str">
        <f aca="false">IF(OR($T63="",$J63=""),"",$T63-$J63)</f>
        <v/>
      </c>
      <c r="AD63" s="25" t="str">
        <f aca="false">IF(AND($K63="Joined",$U63&lt;&gt;"",$J63&lt;&gt;""),$U63-$J63,"")</f>
        <v/>
      </c>
      <c r="AE63" s="25" t="str">
        <f aca="false">IF($K63="","",IF(OR($K63="Rejected",$K63="Withdrawn"),IFERROR(INDEX(Lists!$B$4:$B$14,MATCH($N63,Lists!$A$4:$A$14,0)),1),IFERROR(INDEX(Lists!$B$4:$B$14,MATCH($K63,Lists!$A$4:$A$14,0)),0)))</f>
        <v/>
      </c>
    </row>
    <row r="64" customFormat="false" ht="15" hidden="false" customHeight="false" outlineLevel="0" collapsed="false">
      <c r="A64" s="25" t="str">
        <f aca="false">IF($B64="","","C-"&amp;TEXT(ROW()-1,"0000"))</f>
        <v/>
      </c>
      <c r="B64" s="21"/>
      <c r="C64" s="21"/>
      <c r="D64" s="21"/>
      <c r="E64" s="21"/>
      <c r="F64" s="25" t="str">
        <f aca="false">IF($E64="","",IFERROR(INDEX(Requisitions!$B$2:$B$101,MATCH($E64,Requisitions!$A$2:$A$101,0)),"Unknown Req"))</f>
        <v/>
      </c>
      <c r="G64" s="25" t="str">
        <f aca="false">IF($E64="","",IFERROR(INDEX(Requisitions!$D$2:$D$101,MATCH($E64,Requisitions!$A$2:$A$101,0)),""))</f>
        <v/>
      </c>
      <c r="H64" s="21"/>
      <c r="I64" s="21"/>
      <c r="J64" s="22"/>
      <c r="K64" s="21"/>
      <c r="L64" s="22"/>
      <c r="M64" s="25" t="str">
        <f aca="false">IF($K64="","",IFERROR(INDEX(Lists!$D$4:$D$14,MATCH($K64,Lists!$A$4:$A$14,0)),"Check stage"))</f>
        <v/>
      </c>
      <c r="N64" s="21"/>
      <c r="O64" s="21"/>
      <c r="P64" s="26"/>
      <c r="Q64" s="26"/>
      <c r="R64" s="21"/>
      <c r="S64" s="21"/>
      <c r="T64" s="22"/>
      <c r="U64" s="22"/>
      <c r="V64" s="24" t="str">
        <f aca="false">IF(OR(N($P64)=0,$Q64=""),"",$Q64/$P64-1)</f>
        <v/>
      </c>
      <c r="W64" s="25" t="str">
        <f aca="true">IF($J64="","",IF($M64="Active",TODAY(),IF($U64&lt;&gt;"",$U64,IF($L64&lt;&gt;"",$L64,TODAY())))-$J64)</f>
        <v/>
      </c>
      <c r="X64" s="25" t="str">
        <f aca="true">IF(OR($L64="",$M64&lt;&gt;"Active"),"",TODAY()-$L64)</f>
        <v/>
      </c>
      <c r="Y64" s="25" t="str">
        <f aca="false">IF($M64&lt;&gt;"Active","",INDEX(Lists!$C$4:$C$14,MATCH($K64,Lists!$A$4:$A$14,0)))</f>
        <v/>
      </c>
      <c r="Z64" s="25" t="str">
        <f aca="false">IF($B64="","",IF($M64&lt;&gt;"Active","Closed",IF($X64="","",IF($X64&gt;$Y64,"BREACH","On Track"))))</f>
        <v/>
      </c>
      <c r="AA64" s="25" t="str">
        <f aca="false">IF($K64="","",IFERROR(INDEX(Lists!$E$4:$E$14,MATCH($K64,Lists!$A$4:$A$14,0)),""))</f>
        <v/>
      </c>
      <c r="AB64" s="27" t="str">
        <f aca="false">IF($U64&lt;&gt;"",$U64,IF(OR($T64="",$M64&lt;&gt;"Active"),"",$T64+N($R64)))</f>
        <v/>
      </c>
      <c r="AC64" s="25" t="str">
        <f aca="false">IF(OR($T64="",$J64=""),"",$T64-$J64)</f>
        <v/>
      </c>
      <c r="AD64" s="25" t="str">
        <f aca="false">IF(AND($K64="Joined",$U64&lt;&gt;"",$J64&lt;&gt;""),$U64-$J64,"")</f>
        <v/>
      </c>
      <c r="AE64" s="25" t="str">
        <f aca="false">IF($K64="","",IF(OR($K64="Rejected",$K64="Withdrawn"),IFERROR(INDEX(Lists!$B$4:$B$14,MATCH($N64,Lists!$A$4:$A$14,0)),1),IFERROR(INDEX(Lists!$B$4:$B$14,MATCH($K64,Lists!$A$4:$A$14,0)),0)))</f>
        <v/>
      </c>
    </row>
    <row r="65" customFormat="false" ht="15" hidden="false" customHeight="false" outlineLevel="0" collapsed="false">
      <c r="A65" s="25" t="str">
        <f aca="false">IF($B65="","","C-"&amp;TEXT(ROW()-1,"0000"))</f>
        <v/>
      </c>
      <c r="B65" s="21"/>
      <c r="C65" s="21"/>
      <c r="D65" s="21"/>
      <c r="E65" s="21"/>
      <c r="F65" s="25" t="str">
        <f aca="false">IF($E65="","",IFERROR(INDEX(Requisitions!$B$2:$B$101,MATCH($E65,Requisitions!$A$2:$A$101,0)),"Unknown Req"))</f>
        <v/>
      </c>
      <c r="G65" s="25" t="str">
        <f aca="false">IF($E65="","",IFERROR(INDEX(Requisitions!$D$2:$D$101,MATCH($E65,Requisitions!$A$2:$A$101,0)),""))</f>
        <v/>
      </c>
      <c r="H65" s="21"/>
      <c r="I65" s="21"/>
      <c r="J65" s="22"/>
      <c r="K65" s="21"/>
      <c r="L65" s="22"/>
      <c r="M65" s="25" t="str">
        <f aca="false">IF($K65="","",IFERROR(INDEX(Lists!$D$4:$D$14,MATCH($K65,Lists!$A$4:$A$14,0)),"Check stage"))</f>
        <v/>
      </c>
      <c r="N65" s="21"/>
      <c r="O65" s="21"/>
      <c r="P65" s="26"/>
      <c r="Q65" s="26"/>
      <c r="R65" s="21"/>
      <c r="S65" s="21"/>
      <c r="T65" s="22"/>
      <c r="U65" s="22"/>
      <c r="V65" s="24" t="str">
        <f aca="false">IF(OR(N($P65)=0,$Q65=""),"",$Q65/$P65-1)</f>
        <v/>
      </c>
      <c r="W65" s="25" t="str">
        <f aca="true">IF($J65="","",IF($M65="Active",TODAY(),IF($U65&lt;&gt;"",$U65,IF($L65&lt;&gt;"",$L65,TODAY())))-$J65)</f>
        <v/>
      </c>
      <c r="X65" s="25" t="str">
        <f aca="true">IF(OR($L65="",$M65&lt;&gt;"Active"),"",TODAY()-$L65)</f>
        <v/>
      </c>
      <c r="Y65" s="25" t="str">
        <f aca="false">IF($M65&lt;&gt;"Active","",INDEX(Lists!$C$4:$C$14,MATCH($K65,Lists!$A$4:$A$14,0)))</f>
        <v/>
      </c>
      <c r="Z65" s="25" t="str">
        <f aca="false">IF($B65="","",IF($M65&lt;&gt;"Active","Closed",IF($X65="","",IF($X65&gt;$Y65,"BREACH","On Track"))))</f>
        <v/>
      </c>
      <c r="AA65" s="25" t="str">
        <f aca="false">IF($K65="","",IFERROR(INDEX(Lists!$E$4:$E$14,MATCH($K65,Lists!$A$4:$A$14,0)),""))</f>
        <v/>
      </c>
      <c r="AB65" s="27" t="str">
        <f aca="false">IF($U65&lt;&gt;"",$U65,IF(OR($T65="",$M65&lt;&gt;"Active"),"",$T65+N($R65)))</f>
        <v/>
      </c>
      <c r="AC65" s="25" t="str">
        <f aca="false">IF(OR($T65="",$J65=""),"",$T65-$J65)</f>
        <v/>
      </c>
      <c r="AD65" s="25" t="str">
        <f aca="false">IF(AND($K65="Joined",$U65&lt;&gt;"",$J65&lt;&gt;""),$U65-$J65,"")</f>
        <v/>
      </c>
      <c r="AE65" s="25" t="str">
        <f aca="false">IF($K65="","",IF(OR($K65="Rejected",$K65="Withdrawn"),IFERROR(INDEX(Lists!$B$4:$B$14,MATCH($N65,Lists!$A$4:$A$14,0)),1),IFERROR(INDEX(Lists!$B$4:$B$14,MATCH($K65,Lists!$A$4:$A$14,0)),0)))</f>
        <v/>
      </c>
    </row>
    <row r="66" customFormat="false" ht="15" hidden="false" customHeight="false" outlineLevel="0" collapsed="false">
      <c r="A66" s="25" t="str">
        <f aca="false">IF($B66="","","C-"&amp;TEXT(ROW()-1,"0000"))</f>
        <v/>
      </c>
      <c r="B66" s="21"/>
      <c r="C66" s="21"/>
      <c r="D66" s="21"/>
      <c r="E66" s="21"/>
      <c r="F66" s="25" t="str">
        <f aca="false">IF($E66="","",IFERROR(INDEX(Requisitions!$B$2:$B$101,MATCH($E66,Requisitions!$A$2:$A$101,0)),"Unknown Req"))</f>
        <v/>
      </c>
      <c r="G66" s="25" t="str">
        <f aca="false">IF($E66="","",IFERROR(INDEX(Requisitions!$D$2:$D$101,MATCH($E66,Requisitions!$A$2:$A$101,0)),""))</f>
        <v/>
      </c>
      <c r="H66" s="21"/>
      <c r="I66" s="21"/>
      <c r="J66" s="22"/>
      <c r="K66" s="21"/>
      <c r="L66" s="22"/>
      <c r="M66" s="25" t="str">
        <f aca="false">IF($K66="","",IFERROR(INDEX(Lists!$D$4:$D$14,MATCH($K66,Lists!$A$4:$A$14,0)),"Check stage"))</f>
        <v/>
      </c>
      <c r="N66" s="21"/>
      <c r="O66" s="21"/>
      <c r="P66" s="26"/>
      <c r="Q66" s="26"/>
      <c r="R66" s="21"/>
      <c r="S66" s="21"/>
      <c r="T66" s="22"/>
      <c r="U66" s="22"/>
      <c r="V66" s="24" t="str">
        <f aca="false">IF(OR(N($P66)=0,$Q66=""),"",$Q66/$P66-1)</f>
        <v/>
      </c>
      <c r="W66" s="25" t="str">
        <f aca="true">IF($J66="","",IF($M66="Active",TODAY(),IF($U66&lt;&gt;"",$U66,IF($L66&lt;&gt;"",$L66,TODAY())))-$J66)</f>
        <v/>
      </c>
      <c r="X66" s="25" t="str">
        <f aca="true">IF(OR($L66="",$M66&lt;&gt;"Active"),"",TODAY()-$L66)</f>
        <v/>
      </c>
      <c r="Y66" s="25" t="str">
        <f aca="false">IF($M66&lt;&gt;"Active","",INDEX(Lists!$C$4:$C$14,MATCH($K66,Lists!$A$4:$A$14,0)))</f>
        <v/>
      </c>
      <c r="Z66" s="25" t="str">
        <f aca="false">IF($B66="","",IF($M66&lt;&gt;"Active","Closed",IF($X66="","",IF($X66&gt;$Y66,"BREACH","On Track"))))</f>
        <v/>
      </c>
      <c r="AA66" s="25" t="str">
        <f aca="false">IF($K66="","",IFERROR(INDEX(Lists!$E$4:$E$14,MATCH($K66,Lists!$A$4:$A$14,0)),""))</f>
        <v/>
      </c>
      <c r="AB66" s="27" t="str">
        <f aca="false">IF($U66&lt;&gt;"",$U66,IF(OR($T66="",$M66&lt;&gt;"Active"),"",$T66+N($R66)))</f>
        <v/>
      </c>
      <c r="AC66" s="25" t="str">
        <f aca="false">IF(OR($T66="",$J66=""),"",$T66-$J66)</f>
        <v/>
      </c>
      <c r="AD66" s="25" t="str">
        <f aca="false">IF(AND($K66="Joined",$U66&lt;&gt;"",$J66&lt;&gt;""),$U66-$J66,"")</f>
        <v/>
      </c>
      <c r="AE66" s="25" t="str">
        <f aca="false">IF($K66="","",IF(OR($K66="Rejected",$K66="Withdrawn"),IFERROR(INDEX(Lists!$B$4:$B$14,MATCH($N66,Lists!$A$4:$A$14,0)),1),IFERROR(INDEX(Lists!$B$4:$B$14,MATCH($K66,Lists!$A$4:$A$14,0)),0)))</f>
        <v/>
      </c>
    </row>
    <row r="67" customFormat="false" ht="15" hidden="false" customHeight="false" outlineLevel="0" collapsed="false">
      <c r="A67" s="25" t="str">
        <f aca="false">IF($B67="","","C-"&amp;TEXT(ROW()-1,"0000"))</f>
        <v/>
      </c>
      <c r="B67" s="21"/>
      <c r="C67" s="21"/>
      <c r="D67" s="21"/>
      <c r="E67" s="21"/>
      <c r="F67" s="25" t="str">
        <f aca="false">IF($E67="","",IFERROR(INDEX(Requisitions!$B$2:$B$101,MATCH($E67,Requisitions!$A$2:$A$101,0)),"Unknown Req"))</f>
        <v/>
      </c>
      <c r="G67" s="25" t="str">
        <f aca="false">IF($E67="","",IFERROR(INDEX(Requisitions!$D$2:$D$101,MATCH($E67,Requisitions!$A$2:$A$101,0)),""))</f>
        <v/>
      </c>
      <c r="H67" s="21"/>
      <c r="I67" s="21"/>
      <c r="J67" s="22"/>
      <c r="K67" s="21"/>
      <c r="L67" s="22"/>
      <c r="M67" s="25" t="str">
        <f aca="false">IF($K67="","",IFERROR(INDEX(Lists!$D$4:$D$14,MATCH($K67,Lists!$A$4:$A$14,0)),"Check stage"))</f>
        <v/>
      </c>
      <c r="N67" s="21"/>
      <c r="O67" s="21"/>
      <c r="P67" s="26"/>
      <c r="Q67" s="26"/>
      <c r="R67" s="21"/>
      <c r="S67" s="21"/>
      <c r="T67" s="22"/>
      <c r="U67" s="22"/>
      <c r="V67" s="24" t="str">
        <f aca="false">IF(OR(N($P67)=0,$Q67=""),"",$Q67/$P67-1)</f>
        <v/>
      </c>
      <c r="W67" s="25" t="str">
        <f aca="true">IF($J67="","",IF($M67="Active",TODAY(),IF($U67&lt;&gt;"",$U67,IF($L67&lt;&gt;"",$L67,TODAY())))-$J67)</f>
        <v/>
      </c>
      <c r="X67" s="25" t="str">
        <f aca="true">IF(OR($L67="",$M67&lt;&gt;"Active"),"",TODAY()-$L67)</f>
        <v/>
      </c>
      <c r="Y67" s="25" t="str">
        <f aca="false">IF($M67&lt;&gt;"Active","",INDEX(Lists!$C$4:$C$14,MATCH($K67,Lists!$A$4:$A$14,0)))</f>
        <v/>
      </c>
      <c r="Z67" s="25" t="str">
        <f aca="false">IF($B67="","",IF($M67&lt;&gt;"Active","Closed",IF($X67="","",IF($X67&gt;$Y67,"BREACH","On Track"))))</f>
        <v/>
      </c>
      <c r="AA67" s="25" t="str">
        <f aca="false">IF($K67="","",IFERROR(INDEX(Lists!$E$4:$E$14,MATCH($K67,Lists!$A$4:$A$14,0)),""))</f>
        <v/>
      </c>
      <c r="AB67" s="27" t="str">
        <f aca="false">IF($U67&lt;&gt;"",$U67,IF(OR($T67="",$M67&lt;&gt;"Active"),"",$T67+N($R67)))</f>
        <v/>
      </c>
      <c r="AC67" s="25" t="str">
        <f aca="false">IF(OR($T67="",$J67=""),"",$T67-$J67)</f>
        <v/>
      </c>
      <c r="AD67" s="25" t="str">
        <f aca="false">IF(AND($K67="Joined",$U67&lt;&gt;"",$J67&lt;&gt;""),$U67-$J67,"")</f>
        <v/>
      </c>
      <c r="AE67" s="25" t="str">
        <f aca="false">IF($K67="","",IF(OR($K67="Rejected",$K67="Withdrawn"),IFERROR(INDEX(Lists!$B$4:$B$14,MATCH($N67,Lists!$A$4:$A$14,0)),1),IFERROR(INDEX(Lists!$B$4:$B$14,MATCH($K67,Lists!$A$4:$A$14,0)),0)))</f>
        <v/>
      </c>
    </row>
    <row r="68" customFormat="false" ht="15" hidden="false" customHeight="false" outlineLevel="0" collapsed="false">
      <c r="A68" s="25" t="str">
        <f aca="false">IF($B68="","","C-"&amp;TEXT(ROW()-1,"0000"))</f>
        <v/>
      </c>
      <c r="B68" s="21"/>
      <c r="C68" s="21"/>
      <c r="D68" s="21"/>
      <c r="E68" s="21"/>
      <c r="F68" s="25" t="str">
        <f aca="false">IF($E68="","",IFERROR(INDEX(Requisitions!$B$2:$B$101,MATCH($E68,Requisitions!$A$2:$A$101,0)),"Unknown Req"))</f>
        <v/>
      </c>
      <c r="G68" s="25" t="str">
        <f aca="false">IF($E68="","",IFERROR(INDEX(Requisitions!$D$2:$D$101,MATCH($E68,Requisitions!$A$2:$A$101,0)),""))</f>
        <v/>
      </c>
      <c r="H68" s="21"/>
      <c r="I68" s="21"/>
      <c r="J68" s="22"/>
      <c r="K68" s="21"/>
      <c r="L68" s="22"/>
      <c r="M68" s="25" t="str">
        <f aca="false">IF($K68="","",IFERROR(INDEX(Lists!$D$4:$D$14,MATCH($K68,Lists!$A$4:$A$14,0)),"Check stage"))</f>
        <v/>
      </c>
      <c r="N68" s="21"/>
      <c r="O68" s="21"/>
      <c r="P68" s="26"/>
      <c r="Q68" s="26"/>
      <c r="R68" s="21"/>
      <c r="S68" s="21"/>
      <c r="T68" s="22"/>
      <c r="U68" s="22"/>
      <c r="V68" s="24" t="str">
        <f aca="false">IF(OR(N($P68)=0,$Q68=""),"",$Q68/$P68-1)</f>
        <v/>
      </c>
      <c r="W68" s="25" t="str">
        <f aca="true">IF($J68="","",IF($M68="Active",TODAY(),IF($U68&lt;&gt;"",$U68,IF($L68&lt;&gt;"",$L68,TODAY())))-$J68)</f>
        <v/>
      </c>
      <c r="X68" s="25" t="str">
        <f aca="true">IF(OR($L68="",$M68&lt;&gt;"Active"),"",TODAY()-$L68)</f>
        <v/>
      </c>
      <c r="Y68" s="25" t="str">
        <f aca="false">IF($M68&lt;&gt;"Active","",INDEX(Lists!$C$4:$C$14,MATCH($K68,Lists!$A$4:$A$14,0)))</f>
        <v/>
      </c>
      <c r="Z68" s="25" t="str">
        <f aca="false">IF($B68="","",IF($M68&lt;&gt;"Active","Closed",IF($X68="","",IF($X68&gt;$Y68,"BREACH","On Track"))))</f>
        <v/>
      </c>
      <c r="AA68" s="25" t="str">
        <f aca="false">IF($K68="","",IFERROR(INDEX(Lists!$E$4:$E$14,MATCH($K68,Lists!$A$4:$A$14,0)),""))</f>
        <v/>
      </c>
      <c r="AB68" s="27" t="str">
        <f aca="false">IF($U68&lt;&gt;"",$U68,IF(OR($T68="",$M68&lt;&gt;"Active"),"",$T68+N($R68)))</f>
        <v/>
      </c>
      <c r="AC68" s="25" t="str">
        <f aca="false">IF(OR($T68="",$J68=""),"",$T68-$J68)</f>
        <v/>
      </c>
      <c r="AD68" s="25" t="str">
        <f aca="false">IF(AND($K68="Joined",$U68&lt;&gt;"",$J68&lt;&gt;""),$U68-$J68,"")</f>
        <v/>
      </c>
      <c r="AE68" s="25" t="str">
        <f aca="false">IF($K68="","",IF(OR($K68="Rejected",$K68="Withdrawn"),IFERROR(INDEX(Lists!$B$4:$B$14,MATCH($N68,Lists!$A$4:$A$14,0)),1),IFERROR(INDEX(Lists!$B$4:$B$14,MATCH($K68,Lists!$A$4:$A$14,0)),0)))</f>
        <v/>
      </c>
    </row>
    <row r="69" customFormat="false" ht="15" hidden="false" customHeight="false" outlineLevel="0" collapsed="false">
      <c r="A69" s="25" t="str">
        <f aca="false">IF($B69="","","C-"&amp;TEXT(ROW()-1,"0000"))</f>
        <v/>
      </c>
      <c r="B69" s="21"/>
      <c r="C69" s="21"/>
      <c r="D69" s="21"/>
      <c r="E69" s="21"/>
      <c r="F69" s="25" t="str">
        <f aca="false">IF($E69="","",IFERROR(INDEX(Requisitions!$B$2:$B$101,MATCH($E69,Requisitions!$A$2:$A$101,0)),"Unknown Req"))</f>
        <v/>
      </c>
      <c r="G69" s="25" t="str">
        <f aca="false">IF($E69="","",IFERROR(INDEX(Requisitions!$D$2:$D$101,MATCH($E69,Requisitions!$A$2:$A$101,0)),""))</f>
        <v/>
      </c>
      <c r="H69" s="21"/>
      <c r="I69" s="21"/>
      <c r="J69" s="22"/>
      <c r="K69" s="21"/>
      <c r="L69" s="22"/>
      <c r="M69" s="25" t="str">
        <f aca="false">IF($K69="","",IFERROR(INDEX(Lists!$D$4:$D$14,MATCH($K69,Lists!$A$4:$A$14,0)),"Check stage"))</f>
        <v/>
      </c>
      <c r="N69" s="21"/>
      <c r="O69" s="21"/>
      <c r="P69" s="26"/>
      <c r="Q69" s="26"/>
      <c r="R69" s="21"/>
      <c r="S69" s="21"/>
      <c r="T69" s="22"/>
      <c r="U69" s="22"/>
      <c r="V69" s="24" t="str">
        <f aca="false">IF(OR(N($P69)=0,$Q69=""),"",$Q69/$P69-1)</f>
        <v/>
      </c>
      <c r="W69" s="25" t="str">
        <f aca="true">IF($J69="","",IF($M69="Active",TODAY(),IF($U69&lt;&gt;"",$U69,IF($L69&lt;&gt;"",$L69,TODAY())))-$J69)</f>
        <v/>
      </c>
      <c r="X69" s="25" t="str">
        <f aca="true">IF(OR($L69="",$M69&lt;&gt;"Active"),"",TODAY()-$L69)</f>
        <v/>
      </c>
      <c r="Y69" s="25" t="str">
        <f aca="false">IF($M69&lt;&gt;"Active","",INDEX(Lists!$C$4:$C$14,MATCH($K69,Lists!$A$4:$A$14,0)))</f>
        <v/>
      </c>
      <c r="Z69" s="25" t="str">
        <f aca="false">IF($B69="","",IF($M69&lt;&gt;"Active","Closed",IF($X69="","",IF($X69&gt;$Y69,"BREACH","On Track"))))</f>
        <v/>
      </c>
      <c r="AA69" s="25" t="str">
        <f aca="false">IF($K69="","",IFERROR(INDEX(Lists!$E$4:$E$14,MATCH($K69,Lists!$A$4:$A$14,0)),""))</f>
        <v/>
      </c>
      <c r="AB69" s="27" t="str">
        <f aca="false">IF($U69&lt;&gt;"",$U69,IF(OR($T69="",$M69&lt;&gt;"Active"),"",$T69+N($R69)))</f>
        <v/>
      </c>
      <c r="AC69" s="25" t="str">
        <f aca="false">IF(OR($T69="",$J69=""),"",$T69-$J69)</f>
        <v/>
      </c>
      <c r="AD69" s="25" t="str">
        <f aca="false">IF(AND($K69="Joined",$U69&lt;&gt;"",$J69&lt;&gt;""),$U69-$J69,"")</f>
        <v/>
      </c>
      <c r="AE69" s="25" t="str">
        <f aca="false">IF($K69="","",IF(OR($K69="Rejected",$K69="Withdrawn"),IFERROR(INDEX(Lists!$B$4:$B$14,MATCH($N69,Lists!$A$4:$A$14,0)),1),IFERROR(INDEX(Lists!$B$4:$B$14,MATCH($K69,Lists!$A$4:$A$14,0)),0)))</f>
        <v/>
      </c>
    </row>
    <row r="70" customFormat="false" ht="15" hidden="false" customHeight="false" outlineLevel="0" collapsed="false">
      <c r="A70" s="25" t="str">
        <f aca="false">IF($B70="","","C-"&amp;TEXT(ROW()-1,"0000"))</f>
        <v/>
      </c>
      <c r="B70" s="21"/>
      <c r="C70" s="21"/>
      <c r="D70" s="21"/>
      <c r="E70" s="21"/>
      <c r="F70" s="25" t="str">
        <f aca="false">IF($E70="","",IFERROR(INDEX(Requisitions!$B$2:$B$101,MATCH($E70,Requisitions!$A$2:$A$101,0)),"Unknown Req"))</f>
        <v/>
      </c>
      <c r="G70" s="25" t="str">
        <f aca="false">IF($E70="","",IFERROR(INDEX(Requisitions!$D$2:$D$101,MATCH($E70,Requisitions!$A$2:$A$101,0)),""))</f>
        <v/>
      </c>
      <c r="H70" s="21"/>
      <c r="I70" s="21"/>
      <c r="J70" s="22"/>
      <c r="K70" s="21"/>
      <c r="L70" s="22"/>
      <c r="M70" s="25" t="str">
        <f aca="false">IF($K70="","",IFERROR(INDEX(Lists!$D$4:$D$14,MATCH($K70,Lists!$A$4:$A$14,0)),"Check stage"))</f>
        <v/>
      </c>
      <c r="N70" s="21"/>
      <c r="O70" s="21"/>
      <c r="P70" s="26"/>
      <c r="Q70" s="26"/>
      <c r="R70" s="21"/>
      <c r="S70" s="21"/>
      <c r="T70" s="22"/>
      <c r="U70" s="22"/>
      <c r="V70" s="24" t="str">
        <f aca="false">IF(OR(N($P70)=0,$Q70=""),"",$Q70/$P70-1)</f>
        <v/>
      </c>
      <c r="W70" s="25" t="str">
        <f aca="true">IF($J70="","",IF($M70="Active",TODAY(),IF($U70&lt;&gt;"",$U70,IF($L70&lt;&gt;"",$L70,TODAY())))-$J70)</f>
        <v/>
      </c>
      <c r="X70" s="25" t="str">
        <f aca="true">IF(OR($L70="",$M70&lt;&gt;"Active"),"",TODAY()-$L70)</f>
        <v/>
      </c>
      <c r="Y70" s="25" t="str">
        <f aca="false">IF($M70&lt;&gt;"Active","",INDEX(Lists!$C$4:$C$14,MATCH($K70,Lists!$A$4:$A$14,0)))</f>
        <v/>
      </c>
      <c r="Z70" s="25" t="str">
        <f aca="false">IF($B70="","",IF($M70&lt;&gt;"Active","Closed",IF($X70="","",IF($X70&gt;$Y70,"BREACH","On Track"))))</f>
        <v/>
      </c>
      <c r="AA70" s="25" t="str">
        <f aca="false">IF($K70="","",IFERROR(INDEX(Lists!$E$4:$E$14,MATCH($K70,Lists!$A$4:$A$14,0)),""))</f>
        <v/>
      </c>
      <c r="AB70" s="27" t="str">
        <f aca="false">IF($U70&lt;&gt;"",$U70,IF(OR($T70="",$M70&lt;&gt;"Active"),"",$T70+N($R70)))</f>
        <v/>
      </c>
      <c r="AC70" s="25" t="str">
        <f aca="false">IF(OR($T70="",$J70=""),"",$T70-$J70)</f>
        <v/>
      </c>
      <c r="AD70" s="25" t="str">
        <f aca="false">IF(AND($K70="Joined",$U70&lt;&gt;"",$J70&lt;&gt;""),$U70-$J70,"")</f>
        <v/>
      </c>
      <c r="AE70" s="25" t="str">
        <f aca="false">IF($K70="","",IF(OR($K70="Rejected",$K70="Withdrawn"),IFERROR(INDEX(Lists!$B$4:$B$14,MATCH($N70,Lists!$A$4:$A$14,0)),1),IFERROR(INDEX(Lists!$B$4:$B$14,MATCH($K70,Lists!$A$4:$A$14,0)),0)))</f>
        <v/>
      </c>
    </row>
    <row r="71" customFormat="false" ht="15" hidden="false" customHeight="false" outlineLevel="0" collapsed="false">
      <c r="A71" s="25" t="str">
        <f aca="false">IF($B71="","","C-"&amp;TEXT(ROW()-1,"0000"))</f>
        <v/>
      </c>
      <c r="B71" s="21"/>
      <c r="C71" s="21"/>
      <c r="D71" s="21"/>
      <c r="E71" s="21"/>
      <c r="F71" s="25" t="str">
        <f aca="false">IF($E71="","",IFERROR(INDEX(Requisitions!$B$2:$B$101,MATCH($E71,Requisitions!$A$2:$A$101,0)),"Unknown Req"))</f>
        <v/>
      </c>
      <c r="G71" s="25" t="str">
        <f aca="false">IF($E71="","",IFERROR(INDEX(Requisitions!$D$2:$D$101,MATCH($E71,Requisitions!$A$2:$A$101,0)),""))</f>
        <v/>
      </c>
      <c r="H71" s="21"/>
      <c r="I71" s="21"/>
      <c r="J71" s="22"/>
      <c r="K71" s="21"/>
      <c r="L71" s="22"/>
      <c r="M71" s="25" t="str">
        <f aca="false">IF($K71="","",IFERROR(INDEX(Lists!$D$4:$D$14,MATCH($K71,Lists!$A$4:$A$14,0)),"Check stage"))</f>
        <v/>
      </c>
      <c r="N71" s="21"/>
      <c r="O71" s="21"/>
      <c r="P71" s="26"/>
      <c r="Q71" s="26"/>
      <c r="R71" s="21"/>
      <c r="S71" s="21"/>
      <c r="T71" s="22"/>
      <c r="U71" s="22"/>
      <c r="V71" s="24" t="str">
        <f aca="false">IF(OR(N($P71)=0,$Q71=""),"",$Q71/$P71-1)</f>
        <v/>
      </c>
      <c r="W71" s="25" t="str">
        <f aca="true">IF($J71="","",IF($M71="Active",TODAY(),IF($U71&lt;&gt;"",$U71,IF($L71&lt;&gt;"",$L71,TODAY())))-$J71)</f>
        <v/>
      </c>
      <c r="X71" s="25" t="str">
        <f aca="true">IF(OR($L71="",$M71&lt;&gt;"Active"),"",TODAY()-$L71)</f>
        <v/>
      </c>
      <c r="Y71" s="25" t="str">
        <f aca="false">IF($M71&lt;&gt;"Active","",INDEX(Lists!$C$4:$C$14,MATCH($K71,Lists!$A$4:$A$14,0)))</f>
        <v/>
      </c>
      <c r="Z71" s="25" t="str">
        <f aca="false">IF($B71="","",IF($M71&lt;&gt;"Active","Closed",IF($X71="","",IF($X71&gt;$Y71,"BREACH","On Track"))))</f>
        <v/>
      </c>
      <c r="AA71" s="25" t="str">
        <f aca="false">IF($K71="","",IFERROR(INDEX(Lists!$E$4:$E$14,MATCH($K71,Lists!$A$4:$A$14,0)),""))</f>
        <v/>
      </c>
      <c r="AB71" s="27" t="str">
        <f aca="false">IF($U71&lt;&gt;"",$U71,IF(OR($T71="",$M71&lt;&gt;"Active"),"",$T71+N($R71)))</f>
        <v/>
      </c>
      <c r="AC71" s="25" t="str">
        <f aca="false">IF(OR($T71="",$J71=""),"",$T71-$J71)</f>
        <v/>
      </c>
      <c r="AD71" s="25" t="str">
        <f aca="false">IF(AND($K71="Joined",$U71&lt;&gt;"",$J71&lt;&gt;""),$U71-$J71,"")</f>
        <v/>
      </c>
      <c r="AE71" s="25" t="str">
        <f aca="false">IF($K71="","",IF(OR($K71="Rejected",$K71="Withdrawn"),IFERROR(INDEX(Lists!$B$4:$B$14,MATCH($N71,Lists!$A$4:$A$14,0)),1),IFERROR(INDEX(Lists!$B$4:$B$14,MATCH($K71,Lists!$A$4:$A$14,0)),0)))</f>
        <v/>
      </c>
    </row>
    <row r="72" customFormat="false" ht="15" hidden="false" customHeight="false" outlineLevel="0" collapsed="false">
      <c r="A72" s="25" t="str">
        <f aca="false">IF($B72="","","C-"&amp;TEXT(ROW()-1,"0000"))</f>
        <v/>
      </c>
      <c r="B72" s="21"/>
      <c r="C72" s="21"/>
      <c r="D72" s="21"/>
      <c r="E72" s="21"/>
      <c r="F72" s="25" t="str">
        <f aca="false">IF($E72="","",IFERROR(INDEX(Requisitions!$B$2:$B$101,MATCH($E72,Requisitions!$A$2:$A$101,0)),"Unknown Req"))</f>
        <v/>
      </c>
      <c r="G72" s="25" t="str">
        <f aca="false">IF($E72="","",IFERROR(INDEX(Requisitions!$D$2:$D$101,MATCH($E72,Requisitions!$A$2:$A$101,0)),""))</f>
        <v/>
      </c>
      <c r="H72" s="21"/>
      <c r="I72" s="21"/>
      <c r="J72" s="22"/>
      <c r="K72" s="21"/>
      <c r="L72" s="22"/>
      <c r="M72" s="25" t="str">
        <f aca="false">IF($K72="","",IFERROR(INDEX(Lists!$D$4:$D$14,MATCH($K72,Lists!$A$4:$A$14,0)),"Check stage"))</f>
        <v/>
      </c>
      <c r="N72" s="21"/>
      <c r="O72" s="21"/>
      <c r="P72" s="26"/>
      <c r="Q72" s="26"/>
      <c r="R72" s="21"/>
      <c r="S72" s="21"/>
      <c r="T72" s="22"/>
      <c r="U72" s="22"/>
      <c r="V72" s="24" t="str">
        <f aca="false">IF(OR(N($P72)=0,$Q72=""),"",$Q72/$P72-1)</f>
        <v/>
      </c>
      <c r="W72" s="25" t="str">
        <f aca="true">IF($J72="","",IF($M72="Active",TODAY(),IF($U72&lt;&gt;"",$U72,IF($L72&lt;&gt;"",$L72,TODAY())))-$J72)</f>
        <v/>
      </c>
      <c r="X72" s="25" t="str">
        <f aca="true">IF(OR($L72="",$M72&lt;&gt;"Active"),"",TODAY()-$L72)</f>
        <v/>
      </c>
      <c r="Y72" s="25" t="str">
        <f aca="false">IF($M72&lt;&gt;"Active","",INDEX(Lists!$C$4:$C$14,MATCH($K72,Lists!$A$4:$A$14,0)))</f>
        <v/>
      </c>
      <c r="Z72" s="25" t="str">
        <f aca="false">IF($B72="","",IF($M72&lt;&gt;"Active","Closed",IF($X72="","",IF($X72&gt;$Y72,"BREACH","On Track"))))</f>
        <v/>
      </c>
      <c r="AA72" s="25" t="str">
        <f aca="false">IF($K72="","",IFERROR(INDEX(Lists!$E$4:$E$14,MATCH($K72,Lists!$A$4:$A$14,0)),""))</f>
        <v/>
      </c>
      <c r="AB72" s="27" t="str">
        <f aca="false">IF($U72&lt;&gt;"",$U72,IF(OR($T72="",$M72&lt;&gt;"Active"),"",$T72+N($R72)))</f>
        <v/>
      </c>
      <c r="AC72" s="25" t="str">
        <f aca="false">IF(OR($T72="",$J72=""),"",$T72-$J72)</f>
        <v/>
      </c>
      <c r="AD72" s="25" t="str">
        <f aca="false">IF(AND($K72="Joined",$U72&lt;&gt;"",$J72&lt;&gt;""),$U72-$J72,"")</f>
        <v/>
      </c>
      <c r="AE72" s="25" t="str">
        <f aca="false">IF($K72="","",IF(OR($K72="Rejected",$K72="Withdrawn"),IFERROR(INDEX(Lists!$B$4:$B$14,MATCH($N72,Lists!$A$4:$A$14,0)),1),IFERROR(INDEX(Lists!$B$4:$B$14,MATCH($K72,Lists!$A$4:$A$14,0)),0)))</f>
        <v/>
      </c>
    </row>
    <row r="73" customFormat="false" ht="15" hidden="false" customHeight="false" outlineLevel="0" collapsed="false">
      <c r="A73" s="25" t="str">
        <f aca="false">IF($B73="","","C-"&amp;TEXT(ROW()-1,"0000"))</f>
        <v/>
      </c>
      <c r="B73" s="21"/>
      <c r="C73" s="21"/>
      <c r="D73" s="21"/>
      <c r="E73" s="21"/>
      <c r="F73" s="25" t="str">
        <f aca="false">IF($E73="","",IFERROR(INDEX(Requisitions!$B$2:$B$101,MATCH($E73,Requisitions!$A$2:$A$101,0)),"Unknown Req"))</f>
        <v/>
      </c>
      <c r="G73" s="25" t="str">
        <f aca="false">IF($E73="","",IFERROR(INDEX(Requisitions!$D$2:$D$101,MATCH($E73,Requisitions!$A$2:$A$101,0)),""))</f>
        <v/>
      </c>
      <c r="H73" s="21"/>
      <c r="I73" s="21"/>
      <c r="J73" s="22"/>
      <c r="K73" s="21"/>
      <c r="L73" s="22"/>
      <c r="M73" s="25" t="str">
        <f aca="false">IF($K73="","",IFERROR(INDEX(Lists!$D$4:$D$14,MATCH($K73,Lists!$A$4:$A$14,0)),"Check stage"))</f>
        <v/>
      </c>
      <c r="N73" s="21"/>
      <c r="O73" s="21"/>
      <c r="P73" s="26"/>
      <c r="Q73" s="26"/>
      <c r="R73" s="21"/>
      <c r="S73" s="21"/>
      <c r="T73" s="22"/>
      <c r="U73" s="22"/>
      <c r="V73" s="24" t="str">
        <f aca="false">IF(OR(N($P73)=0,$Q73=""),"",$Q73/$P73-1)</f>
        <v/>
      </c>
      <c r="W73" s="25" t="str">
        <f aca="true">IF($J73="","",IF($M73="Active",TODAY(),IF($U73&lt;&gt;"",$U73,IF($L73&lt;&gt;"",$L73,TODAY())))-$J73)</f>
        <v/>
      </c>
      <c r="X73" s="25" t="str">
        <f aca="true">IF(OR($L73="",$M73&lt;&gt;"Active"),"",TODAY()-$L73)</f>
        <v/>
      </c>
      <c r="Y73" s="25" t="str">
        <f aca="false">IF($M73&lt;&gt;"Active","",INDEX(Lists!$C$4:$C$14,MATCH($K73,Lists!$A$4:$A$14,0)))</f>
        <v/>
      </c>
      <c r="Z73" s="25" t="str">
        <f aca="false">IF($B73="","",IF($M73&lt;&gt;"Active","Closed",IF($X73="","",IF($X73&gt;$Y73,"BREACH","On Track"))))</f>
        <v/>
      </c>
      <c r="AA73" s="25" t="str">
        <f aca="false">IF($K73="","",IFERROR(INDEX(Lists!$E$4:$E$14,MATCH($K73,Lists!$A$4:$A$14,0)),""))</f>
        <v/>
      </c>
      <c r="AB73" s="27" t="str">
        <f aca="false">IF($U73&lt;&gt;"",$U73,IF(OR($T73="",$M73&lt;&gt;"Active"),"",$T73+N($R73)))</f>
        <v/>
      </c>
      <c r="AC73" s="25" t="str">
        <f aca="false">IF(OR($T73="",$J73=""),"",$T73-$J73)</f>
        <v/>
      </c>
      <c r="AD73" s="25" t="str">
        <f aca="false">IF(AND($K73="Joined",$U73&lt;&gt;"",$J73&lt;&gt;""),$U73-$J73,"")</f>
        <v/>
      </c>
      <c r="AE73" s="25" t="str">
        <f aca="false">IF($K73="","",IF(OR($K73="Rejected",$K73="Withdrawn"),IFERROR(INDEX(Lists!$B$4:$B$14,MATCH($N73,Lists!$A$4:$A$14,0)),1),IFERROR(INDEX(Lists!$B$4:$B$14,MATCH($K73,Lists!$A$4:$A$14,0)),0)))</f>
        <v/>
      </c>
    </row>
    <row r="74" customFormat="false" ht="15" hidden="false" customHeight="false" outlineLevel="0" collapsed="false">
      <c r="A74" s="25" t="str">
        <f aca="false">IF($B74="","","C-"&amp;TEXT(ROW()-1,"0000"))</f>
        <v/>
      </c>
      <c r="B74" s="21"/>
      <c r="C74" s="21"/>
      <c r="D74" s="21"/>
      <c r="E74" s="21"/>
      <c r="F74" s="25" t="str">
        <f aca="false">IF($E74="","",IFERROR(INDEX(Requisitions!$B$2:$B$101,MATCH($E74,Requisitions!$A$2:$A$101,0)),"Unknown Req"))</f>
        <v/>
      </c>
      <c r="G74" s="25" t="str">
        <f aca="false">IF($E74="","",IFERROR(INDEX(Requisitions!$D$2:$D$101,MATCH($E74,Requisitions!$A$2:$A$101,0)),""))</f>
        <v/>
      </c>
      <c r="H74" s="21"/>
      <c r="I74" s="21"/>
      <c r="J74" s="22"/>
      <c r="K74" s="21"/>
      <c r="L74" s="22"/>
      <c r="M74" s="25" t="str">
        <f aca="false">IF($K74="","",IFERROR(INDEX(Lists!$D$4:$D$14,MATCH($K74,Lists!$A$4:$A$14,0)),"Check stage"))</f>
        <v/>
      </c>
      <c r="N74" s="21"/>
      <c r="O74" s="21"/>
      <c r="P74" s="26"/>
      <c r="Q74" s="26"/>
      <c r="R74" s="21"/>
      <c r="S74" s="21"/>
      <c r="T74" s="22"/>
      <c r="U74" s="22"/>
      <c r="V74" s="24" t="str">
        <f aca="false">IF(OR(N($P74)=0,$Q74=""),"",$Q74/$P74-1)</f>
        <v/>
      </c>
      <c r="W74" s="25" t="str">
        <f aca="true">IF($J74="","",IF($M74="Active",TODAY(),IF($U74&lt;&gt;"",$U74,IF($L74&lt;&gt;"",$L74,TODAY())))-$J74)</f>
        <v/>
      </c>
      <c r="X74" s="25" t="str">
        <f aca="true">IF(OR($L74="",$M74&lt;&gt;"Active"),"",TODAY()-$L74)</f>
        <v/>
      </c>
      <c r="Y74" s="25" t="str">
        <f aca="false">IF($M74&lt;&gt;"Active","",INDEX(Lists!$C$4:$C$14,MATCH($K74,Lists!$A$4:$A$14,0)))</f>
        <v/>
      </c>
      <c r="Z74" s="25" t="str">
        <f aca="false">IF($B74="","",IF($M74&lt;&gt;"Active","Closed",IF($X74="","",IF($X74&gt;$Y74,"BREACH","On Track"))))</f>
        <v/>
      </c>
      <c r="AA74" s="25" t="str">
        <f aca="false">IF($K74="","",IFERROR(INDEX(Lists!$E$4:$E$14,MATCH($K74,Lists!$A$4:$A$14,0)),""))</f>
        <v/>
      </c>
      <c r="AB74" s="27" t="str">
        <f aca="false">IF($U74&lt;&gt;"",$U74,IF(OR($T74="",$M74&lt;&gt;"Active"),"",$T74+N($R74)))</f>
        <v/>
      </c>
      <c r="AC74" s="25" t="str">
        <f aca="false">IF(OR($T74="",$J74=""),"",$T74-$J74)</f>
        <v/>
      </c>
      <c r="AD74" s="25" t="str">
        <f aca="false">IF(AND($K74="Joined",$U74&lt;&gt;"",$J74&lt;&gt;""),$U74-$J74,"")</f>
        <v/>
      </c>
      <c r="AE74" s="25" t="str">
        <f aca="false">IF($K74="","",IF(OR($K74="Rejected",$K74="Withdrawn"),IFERROR(INDEX(Lists!$B$4:$B$14,MATCH($N74,Lists!$A$4:$A$14,0)),1),IFERROR(INDEX(Lists!$B$4:$B$14,MATCH($K74,Lists!$A$4:$A$14,0)),0)))</f>
        <v/>
      </c>
    </row>
    <row r="75" customFormat="false" ht="15" hidden="false" customHeight="false" outlineLevel="0" collapsed="false">
      <c r="A75" s="25" t="str">
        <f aca="false">IF($B75="","","C-"&amp;TEXT(ROW()-1,"0000"))</f>
        <v/>
      </c>
      <c r="B75" s="21"/>
      <c r="C75" s="21"/>
      <c r="D75" s="21"/>
      <c r="E75" s="21"/>
      <c r="F75" s="25" t="str">
        <f aca="false">IF($E75="","",IFERROR(INDEX(Requisitions!$B$2:$B$101,MATCH($E75,Requisitions!$A$2:$A$101,0)),"Unknown Req"))</f>
        <v/>
      </c>
      <c r="G75" s="25" t="str">
        <f aca="false">IF($E75="","",IFERROR(INDEX(Requisitions!$D$2:$D$101,MATCH($E75,Requisitions!$A$2:$A$101,0)),""))</f>
        <v/>
      </c>
      <c r="H75" s="21"/>
      <c r="I75" s="21"/>
      <c r="J75" s="22"/>
      <c r="K75" s="21"/>
      <c r="L75" s="22"/>
      <c r="M75" s="25" t="str">
        <f aca="false">IF($K75="","",IFERROR(INDEX(Lists!$D$4:$D$14,MATCH($K75,Lists!$A$4:$A$14,0)),"Check stage"))</f>
        <v/>
      </c>
      <c r="N75" s="21"/>
      <c r="O75" s="21"/>
      <c r="P75" s="26"/>
      <c r="Q75" s="26"/>
      <c r="R75" s="21"/>
      <c r="S75" s="21"/>
      <c r="T75" s="22"/>
      <c r="U75" s="22"/>
      <c r="V75" s="24" t="str">
        <f aca="false">IF(OR(N($P75)=0,$Q75=""),"",$Q75/$P75-1)</f>
        <v/>
      </c>
      <c r="W75" s="25" t="str">
        <f aca="true">IF($J75="","",IF($M75="Active",TODAY(),IF($U75&lt;&gt;"",$U75,IF($L75&lt;&gt;"",$L75,TODAY())))-$J75)</f>
        <v/>
      </c>
      <c r="X75" s="25" t="str">
        <f aca="true">IF(OR($L75="",$M75&lt;&gt;"Active"),"",TODAY()-$L75)</f>
        <v/>
      </c>
      <c r="Y75" s="25" t="str">
        <f aca="false">IF($M75&lt;&gt;"Active","",INDEX(Lists!$C$4:$C$14,MATCH($K75,Lists!$A$4:$A$14,0)))</f>
        <v/>
      </c>
      <c r="Z75" s="25" t="str">
        <f aca="false">IF($B75="","",IF($M75&lt;&gt;"Active","Closed",IF($X75="","",IF($X75&gt;$Y75,"BREACH","On Track"))))</f>
        <v/>
      </c>
      <c r="AA75" s="25" t="str">
        <f aca="false">IF($K75="","",IFERROR(INDEX(Lists!$E$4:$E$14,MATCH($K75,Lists!$A$4:$A$14,0)),""))</f>
        <v/>
      </c>
      <c r="AB75" s="27" t="str">
        <f aca="false">IF($U75&lt;&gt;"",$U75,IF(OR($T75="",$M75&lt;&gt;"Active"),"",$T75+N($R75)))</f>
        <v/>
      </c>
      <c r="AC75" s="25" t="str">
        <f aca="false">IF(OR($T75="",$J75=""),"",$T75-$J75)</f>
        <v/>
      </c>
      <c r="AD75" s="25" t="str">
        <f aca="false">IF(AND($K75="Joined",$U75&lt;&gt;"",$J75&lt;&gt;""),$U75-$J75,"")</f>
        <v/>
      </c>
      <c r="AE75" s="25" t="str">
        <f aca="false">IF($K75="","",IF(OR($K75="Rejected",$K75="Withdrawn"),IFERROR(INDEX(Lists!$B$4:$B$14,MATCH($N75,Lists!$A$4:$A$14,0)),1),IFERROR(INDEX(Lists!$B$4:$B$14,MATCH($K75,Lists!$A$4:$A$14,0)),0)))</f>
        <v/>
      </c>
    </row>
    <row r="76" customFormat="false" ht="15" hidden="false" customHeight="false" outlineLevel="0" collapsed="false">
      <c r="A76" s="25" t="str">
        <f aca="false">IF($B76="","","C-"&amp;TEXT(ROW()-1,"0000"))</f>
        <v/>
      </c>
      <c r="B76" s="21"/>
      <c r="C76" s="21"/>
      <c r="D76" s="21"/>
      <c r="E76" s="21"/>
      <c r="F76" s="25" t="str">
        <f aca="false">IF($E76="","",IFERROR(INDEX(Requisitions!$B$2:$B$101,MATCH($E76,Requisitions!$A$2:$A$101,0)),"Unknown Req"))</f>
        <v/>
      </c>
      <c r="G76" s="25" t="str">
        <f aca="false">IF($E76="","",IFERROR(INDEX(Requisitions!$D$2:$D$101,MATCH($E76,Requisitions!$A$2:$A$101,0)),""))</f>
        <v/>
      </c>
      <c r="H76" s="21"/>
      <c r="I76" s="21"/>
      <c r="J76" s="22"/>
      <c r="K76" s="21"/>
      <c r="L76" s="22"/>
      <c r="M76" s="25" t="str">
        <f aca="false">IF($K76="","",IFERROR(INDEX(Lists!$D$4:$D$14,MATCH($K76,Lists!$A$4:$A$14,0)),"Check stage"))</f>
        <v/>
      </c>
      <c r="N76" s="21"/>
      <c r="O76" s="21"/>
      <c r="P76" s="26"/>
      <c r="Q76" s="26"/>
      <c r="R76" s="21"/>
      <c r="S76" s="21"/>
      <c r="T76" s="22"/>
      <c r="U76" s="22"/>
      <c r="V76" s="24" t="str">
        <f aca="false">IF(OR(N($P76)=0,$Q76=""),"",$Q76/$P76-1)</f>
        <v/>
      </c>
      <c r="W76" s="25" t="str">
        <f aca="true">IF($J76="","",IF($M76="Active",TODAY(),IF($U76&lt;&gt;"",$U76,IF($L76&lt;&gt;"",$L76,TODAY())))-$J76)</f>
        <v/>
      </c>
      <c r="X76" s="25" t="str">
        <f aca="true">IF(OR($L76="",$M76&lt;&gt;"Active"),"",TODAY()-$L76)</f>
        <v/>
      </c>
      <c r="Y76" s="25" t="str">
        <f aca="false">IF($M76&lt;&gt;"Active","",INDEX(Lists!$C$4:$C$14,MATCH($K76,Lists!$A$4:$A$14,0)))</f>
        <v/>
      </c>
      <c r="Z76" s="25" t="str">
        <f aca="false">IF($B76="","",IF($M76&lt;&gt;"Active","Closed",IF($X76="","",IF($X76&gt;$Y76,"BREACH","On Track"))))</f>
        <v/>
      </c>
      <c r="AA76" s="25" t="str">
        <f aca="false">IF($K76="","",IFERROR(INDEX(Lists!$E$4:$E$14,MATCH($K76,Lists!$A$4:$A$14,0)),""))</f>
        <v/>
      </c>
      <c r="AB76" s="27" t="str">
        <f aca="false">IF($U76&lt;&gt;"",$U76,IF(OR($T76="",$M76&lt;&gt;"Active"),"",$T76+N($R76)))</f>
        <v/>
      </c>
      <c r="AC76" s="25" t="str">
        <f aca="false">IF(OR($T76="",$J76=""),"",$T76-$J76)</f>
        <v/>
      </c>
      <c r="AD76" s="25" t="str">
        <f aca="false">IF(AND($K76="Joined",$U76&lt;&gt;"",$J76&lt;&gt;""),$U76-$J76,"")</f>
        <v/>
      </c>
      <c r="AE76" s="25" t="str">
        <f aca="false">IF($K76="","",IF(OR($K76="Rejected",$K76="Withdrawn"),IFERROR(INDEX(Lists!$B$4:$B$14,MATCH($N76,Lists!$A$4:$A$14,0)),1),IFERROR(INDEX(Lists!$B$4:$B$14,MATCH($K76,Lists!$A$4:$A$14,0)),0)))</f>
        <v/>
      </c>
    </row>
    <row r="77" customFormat="false" ht="15" hidden="false" customHeight="false" outlineLevel="0" collapsed="false">
      <c r="A77" s="25" t="str">
        <f aca="false">IF($B77="","","C-"&amp;TEXT(ROW()-1,"0000"))</f>
        <v/>
      </c>
      <c r="B77" s="21"/>
      <c r="C77" s="21"/>
      <c r="D77" s="21"/>
      <c r="E77" s="21"/>
      <c r="F77" s="25" t="str">
        <f aca="false">IF($E77="","",IFERROR(INDEX(Requisitions!$B$2:$B$101,MATCH($E77,Requisitions!$A$2:$A$101,0)),"Unknown Req"))</f>
        <v/>
      </c>
      <c r="G77" s="25" t="str">
        <f aca="false">IF($E77="","",IFERROR(INDEX(Requisitions!$D$2:$D$101,MATCH($E77,Requisitions!$A$2:$A$101,0)),""))</f>
        <v/>
      </c>
      <c r="H77" s="21"/>
      <c r="I77" s="21"/>
      <c r="J77" s="22"/>
      <c r="K77" s="21"/>
      <c r="L77" s="22"/>
      <c r="M77" s="25" t="str">
        <f aca="false">IF($K77="","",IFERROR(INDEX(Lists!$D$4:$D$14,MATCH($K77,Lists!$A$4:$A$14,0)),"Check stage"))</f>
        <v/>
      </c>
      <c r="N77" s="21"/>
      <c r="O77" s="21"/>
      <c r="P77" s="26"/>
      <c r="Q77" s="26"/>
      <c r="R77" s="21"/>
      <c r="S77" s="21"/>
      <c r="T77" s="22"/>
      <c r="U77" s="22"/>
      <c r="V77" s="24" t="str">
        <f aca="false">IF(OR(N($P77)=0,$Q77=""),"",$Q77/$P77-1)</f>
        <v/>
      </c>
      <c r="W77" s="25" t="str">
        <f aca="true">IF($J77="","",IF($M77="Active",TODAY(),IF($U77&lt;&gt;"",$U77,IF($L77&lt;&gt;"",$L77,TODAY())))-$J77)</f>
        <v/>
      </c>
      <c r="X77" s="25" t="str">
        <f aca="true">IF(OR($L77="",$M77&lt;&gt;"Active"),"",TODAY()-$L77)</f>
        <v/>
      </c>
      <c r="Y77" s="25" t="str">
        <f aca="false">IF($M77&lt;&gt;"Active","",INDEX(Lists!$C$4:$C$14,MATCH($K77,Lists!$A$4:$A$14,0)))</f>
        <v/>
      </c>
      <c r="Z77" s="25" t="str">
        <f aca="false">IF($B77="","",IF($M77&lt;&gt;"Active","Closed",IF($X77="","",IF($X77&gt;$Y77,"BREACH","On Track"))))</f>
        <v/>
      </c>
      <c r="AA77" s="25" t="str">
        <f aca="false">IF($K77="","",IFERROR(INDEX(Lists!$E$4:$E$14,MATCH($K77,Lists!$A$4:$A$14,0)),""))</f>
        <v/>
      </c>
      <c r="AB77" s="27" t="str">
        <f aca="false">IF($U77&lt;&gt;"",$U77,IF(OR($T77="",$M77&lt;&gt;"Active"),"",$T77+N($R77)))</f>
        <v/>
      </c>
      <c r="AC77" s="25" t="str">
        <f aca="false">IF(OR($T77="",$J77=""),"",$T77-$J77)</f>
        <v/>
      </c>
      <c r="AD77" s="25" t="str">
        <f aca="false">IF(AND($K77="Joined",$U77&lt;&gt;"",$J77&lt;&gt;""),$U77-$J77,"")</f>
        <v/>
      </c>
      <c r="AE77" s="25" t="str">
        <f aca="false">IF($K77="","",IF(OR($K77="Rejected",$K77="Withdrawn"),IFERROR(INDEX(Lists!$B$4:$B$14,MATCH($N77,Lists!$A$4:$A$14,0)),1),IFERROR(INDEX(Lists!$B$4:$B$14,MATCH($K77,Lists!$A$4:$A$14,0)),0)))</f>
        <v/>
      </c>
    </row>
    <row r="78" customFormat="false" ht="15" hidden="false" customHeight="false" outlineLevel="0" collapsed="false">
      <c r="A78" s="25" t="str">
        <f aca="false">IF($B78="","","C-"&amp;TEXT(ROW()-1,"0000"))</f>
        <v/>
      </c>
      <c r="B78" s="21"/>
      <c r="C78" s="21"/>
      <c r="D78" s="21"/>
      <c r="E78" s="21"/>
      <c r="F78" s="25" t="str">
        <f aca="false">IF($E78="","",IFERROR(INDEX(Requisitions!$B$2:$B$101,MATCH($E78,Requisitions!$A$2:$A$101,0)),"Unknown Req"))</f>
        <v/>
      </c>
      <c r="G78" s="25" t="str">
        <f aca="false">IF($E78="","",IFERROR(INDEX(Requisitions!$D$2:$D$101,MATCH($E78,Requisitions!$A$2:$A$101,0)),""))</f>
        <v/>
      </c>
      <c r="H78" s="21"/>
      <c r="I78" s="21"/>
      <c r="J78" s="22"/>
      <c r="K78" s="21"/>
      <c r="L78" s="22"/>
      <c r="M78" s="25" t="str">
        <f aca="false">IF($K78="","",IFERROR(INDEX(Lists!$D$4:$D$14,MATCH($K78,Lists!$A$4:$A$14,0)),"Check stage"))</f>
        <v/>
      </c>
      <c r="N78" s="21"/>
      <c r="O78" s="21"/>
      <c r="P78" s="26"/>
      <c r="Q78" s="26"/>
      <c r="R78" s="21"/>
      <c r="S78" s="21"/>
      <c r="T78" s="22"/>
      <c r="U78" s="22"/>
      <c r="V78" s="24" t="str">
        <f aca="false">IF(OR(N($P78)=0,$Q78=""),"",$Q78/$P78-1)</f>
        <v/>
      </c>
      <c r="W78" s="25" t="str">
        <f aca="true">IF($J78="","",IF($M78="Active",TODAY(),IF($U78&lt;&gt;"",$U78,IF($L78&lt;&gt;"",$L78,TODAY())))-$J78)</f>
        <v/>
      </c>
      <c r="X78" s="25" t="str">
        <f aca="true">IF(OR($L78="",$M78&lt;&gt;"Active"),"",TODAY()-$L78)</f>
        <v/>
      </c>
      <c r="Y78" s="25" t="str">
        <f aca="false">IF($M78&lt;&gt;"Active","",INDEX(Lists!$C$4:$C$14,MATCH($K78,Lists!$A$4:$A$14,0)))</f>
        <v/>
      </c>
      <c r="Z78" s="25" t="str">
        <f aca="false">IF($B78="","",IF($M78&lt;&gt;"Active","Closed",IF($X78="","",IF($X78&gt;$Y78,"BREACH","On Track"))))</f>
        <v/>
      </c>
      <c r="AA78" s="25" t="str">
        <f aca="false">IF($K78="","",IFERROR(INDEX(Lists!$E$4:$E$14,MATCH($K78,Lists!$A$4:$A$14,0)),""))</f>
        <v/>
      </c>
      <c r="AB78" s="27" t="str">
        <f aca="false">IF($U78&lt;&gt;"",$U78,IF(OR($T78="",$M78&lt;&gt;"Active"),"",$T78+N($R78)))</f>
        <v/>
      </c>
      <c r="AC78" s="25" t="str">
        <f aca="false">IF(OR($T78="",$J78=""),"",$T78-$J78)</f>
        <v/>
      </c>
      <c r="AD78" s="25" t="str">
        <f aca="false">IF(AND($K78="Joined",$U78&lt;&gt;"",$J78&lt;&gt;""),$U78-$J78,"")</f>
        <v/>
      </c>
      <c r="AE78" s="25" t="str">
        <f aca="false">IF($K78="","",IF(OR($K78="Rejected",$K78="Withdrawn"),IFERROR(INDEX(Lists!$B$4:$B$14,MATCH($N78,Lists!$A$4:$A$14,0)),1),IFERROR(INDEX(Lists!$B$4:$B$14,MATCH($K78,Lists!$A$4:$A$14,0)),0)))</f>
        <v/>
      </c>
    </row>
    <row r="79" customFormat="false" ht="15" hidden="false" customHeight="false" outlineLevel="0" collapsed="false">
      <c r="A79" s="25" t="str">
        <f aca="false">IF($B79="","","C-"&amp;TEXT(ROW()-1,"0000"))</f>
        <v/>
      </c>
      <c r="B79" s="21"/>
      <c r="C79" s="21"/>
      <c r="D79" s="21"/>
      <c r="E79" s="21"/>
      <c r="F79" s="25" t="str">
        <f aca="false">IF($E79="","",IFERROR(INDEX(Requisitions!$B$2:$B$101,MATCH($E79,Requisitions!$A$2:$A$101,0)),"Unknown Req"))</f>
        <v/>
      </c>
      <c r="G79" s="25" t="str">
        <f aca="false">IF($E79="","",IFERROR(INDEX(Requisitions!$D$2:$D$101,MATCH($E79,Requisitions!$A$2:$A$101,0)),""))</f>
        <v/>
      </c>
      <c r="H79" s="21"/>
      <c r="I79" s="21"/>
      <c r="J79" s="22"/>
      <c r="K79" s="21"/>
      <c r="L79" s="22"/>
      <c r="M79" s="25" t="str">
        <f aca="false">IF($K79="","",IFERROR(INDEX(Lists!$D$4:$D$14,MATCH($K79,Lists!$A$4:$A$14,0)),"Check stage"))</f>
        <v/>
      </c>
      <c r="N79" s="21"/>
      <c r="O79" s="21"/>
      <c r="P79" s="26"/>
      <c r="Q79" s="26"/>
      <c r="R79" s="21"/>
      <c r="S79" s="21"/>
      <c r="T79" s="22"/>
      <c r="U79" s="22"/>
      <c r="V79" s="24" t="str">
        <f aca="false">IF(OR(N($P79)=0,$Q79=""),"",$Q79/$P79-1)</f>
        <v/>
      </c>
      <c r="W79" s="25" t="str">
        <f aca="true">IF($J79="","",IF($M79="Active",TODAY(),IF($U79&lt;&gt;"",$U79,IF($L79&lt;&gt;"",$L79,TODAY())))-$J79)</f>
        <v/>
      </c>
      <c r="X79" s="25" t="str">
        <f aca="true">IF(OR($L79="",$M79&lt;&gt;"Active"),"",TODAY()-$L79)</f>
        <v/>
      </c>
      <c r="Y79" s="25" t="str">
        <f aca="false">IF($M79&lt;&gt;"Active","",INDEX(Lists!$C$4:$C$14,MATCH($K79,Lists!$A$4:$A$14,0)))</f>
        <v/>
      </c>
      <c r="Z79" s="25" t="str">
        <f aca="false">IF($B79="","",IF($M79&lt;&gt;"Active","Closed",IF($X79="","",IF($X79&gt;$Y79,"BREACH","On Track"))))</f>
        <v/>
      </c>
      <c r="AA79" s="25" t="str">
        <f aca="false">IF($K79="","",IFERROR(INDEX(Lists!$E$4:$E$14,MATCH($K79,Lists!$A$4:$A$14,0)),""))</f>
        <v/>
      </c>
      <c r="AB79" s="27" t="str">
        <f aca="false">IF($U79&lt;&gt;"",$U79,IF(OR($T79="",$M79&lt;&gt;"Active"),"",$T79+N($R79)))</f>
        <v/>
      </c>
      <c r="AC79" s="25" t="str">
        <f aca="false">IF(OR($T79="",$J79=""),"",$T79-$J79)</f>
        <v/>
      </c>
      <c r="AD79" s="25" t="str">
        <f aca="false">IF(AND($K79="Joined",$U79&lt;&gt;"",$J79&lt;&gt;""),$U79-$J79,"")</f>
        <v/>
      </c>
      <c r="AE79" s="25" t="str">
        <f aca="false">IF($K79="","",IF(OR($K79="Rejected",$K79="Withdrawn"),IFERROR(INDEX(Lists!$B$4:$B$14,MATCH($N79,Lists!$A$4:$A$14,0)),1),IFERROR(INDEX(Lists!$B$4:$B$14,MATCH($K79,Lists!$A$4:$A$14,0)),0)))</f>
        <v/>
      </c>
    </row>
    <row r="80" customFormat="false" ht="15" hidden="false" customHeight="false" outlineLevel="0" collapsed="false">
      <c r="A80" s="25" t="str">
        <f aca="false">IF($B80="","","C-"&amp;TEXT(ROW()-1,"0000"))</f>
        <v/>
      </c>
      <c r="B80" s="21"/>
      <c r="C80" s="21"/>
      <c r="D80" s="21"/>
      <c r="E80" s="21"/>
      <c r="F80" s="25" t="str">
        <f aca="false">IF($E80="","",IFERROR(INDEX(Requisitions!$B$2:$B$101,MATCH($E80,Requisitions!$A$2:$A$101,0)),"Unknown Req"))</f>
        <v/>
      </c>
      <c r="G80" s="25" t="str">
        <f aca="false">IF($E80="","",IFERROR(INDEX(Requisitions!$D$2:$D$101,MATCH($E80,Requisitions!$A$2:$A$101,0)),""))</f>
        <v/>
      </c>
      <c r="H80" s="21"/>
      <c r="I80" s="21"/>
      <c r="J80" s="22"/>
      <c r="K80" s="21"/>
      <c r="L80" s="22"/>
      <c r="M80" s="25" t="str">
        <f aca="false">IF($K80="","",IFERROR(INDEX(Lists!$D$4:$D$14,MATCH($K80,Lists!$A$4:$A$14,0)),"Check stage"))</f>
        <v/>
      </c>
      <c r="N80" s="21"/>
      <c r="O80" s="21"/>
      <c r="P80" s="26"/>
      <c r="Q80" s="26"/>
      <c r="R80" s="21"/>
      <c r="S80" s="21"/>
      <c r="T80" s="22"/>
      <c r="U80" s="22"/>
      <c r="V80" s="24" t="str">
        <f aca="false">IF(OR(N($P80)=0,$Q80=""),"",$Q80/$P80-1)</f>
        <v/>
      </c>
      <c r="W80" s="25" t="str">
        <f aca="true">IF($J80="","",IF($M80="Active",TODAY(),IF($U80&lt;&gt;"",$U80,IF($L80&lt;&gt;"",$L80,TODAY())))-$J80)</f>
        <v/>
      </c>
      <c r="X80" s="25" t="str">
        <f aca="true">IF(OR($L80="",$M80&lt;&gt;"Active"),"",TODAY()-$L80)</f>
        <v/>
      </c>
      <c r="Y80" s="25" t="str">
        <f aca="false">IF($M80&lt;&gt;"Active","",INDEX(Lists!$C$4:$C$14,MATCH($K80,Lists!$A$4:$A$14,0)))</f>
        <v/>
      </c>
      <c r="Z80" s="25" t="str">
        <f aca="false">IF($B80="","",IF($M80&lt;&gt;"Active","Closed",IF($X80="","",IF($X80&gt;$Y80,"BREACH","On Track"))))</f>
        <v/>
      </c>
      <c r="AA80" s="25" t="str">
        <f aca="false">IF($K80="","",IFERROR(INDEX(Lists!$E$4:$E$14,MATCH($K80,Lists!$A$4:$A$14,0)),""))</f>
        <v/>
      </c>
      <c r="AB80" s="27" t="str">
        <f aca="false">IF($U80&lt;&gt;"",$U80,IF(OR($T80="",$M80&lt;&gt;"Active"),"",$T80+N($R80)))</f>
        <v/>
      </c>
      <c r="AC80" s="25" t="str">
        <f aca="false">IF(OR($T80="",$J80=""),"",$T80-$J80)</f>
        <v/>
      </c>
      <c r="AD80" s="25" t="str">
        <f aca="false">IF(AND($K80="Joined",$U80&lt;&gt;"",$J80&lt;&gt;""),$U80-$J80,"")</f>
        <v/>
      </c>
      <c r="AE80" s="25" t="str">
        <f aca="false">IF($K80="","",IF(OR($K80="Rejected",$K80="Withdrawn"),IFERROR(INDEX(Lists!$B$4:$B$14,MATCH($N80,Lists!$A$4:$A$14,0)),1),IFERROR(INDEX(Lists!$B$4:$B$14,MATCH($K80,Lists!$A$4:$A$14,0)),0)))</f>
        <v/>
      </c>
    </row>
    <row r="81" customFormat="false" ht="15" hidden="false" customHeight="false" outlineLevel="0" collapsed="false">
      <c r="A81" s="25" t="str">
        <f aca="false">IF($B81="","","C-"&amp;TEXT(ROW()-1,"0000"))</f>
        <v/>
      </c>
      <c r="B81" s="21"/>
      <c r="C81" s="21"/>
      <c r="D81" s="21"/>
      <c r="E81" s="21"/>
      <c r="F81" s="25" t="str">
        <f aca="false">IF($E81="","",IFERROR(INDEX(Requisitions!$B$2:$B$101,MATCH($E81,Requisitions!$A$2:$A$101,0)),"Unknown Req"))</f>
        <v/>
      </c>
      <c r="G81" s="25" t="str">
        <f aca="false">IF($E81="","",IFERROR(INDEX(Requisitions!$D$2:$D$101,MATCH($E81,Requisitions!$A$2:$A$101,0)),""))</f>
        <v/>
      </c>
      <c r="H81" s="21"/>
      <c r="I81" s="21"/>
      <c r="J81" s="22"/>
      <c r="K81" s="21"/>
      <c r="L81" s="22"/>
      <c r="M81" s="25" t="str">
        <f aca="false">IF($K81="","",IFERROR(INDEX(Lists!$D$4:$D$14,MATCH($K81,Lists!$A$4:$A$14,0)),"Check stage"))</f>
        <v/>
      </c>
      <c r="N81" s="21"/>
      <c r="O81" s="21"/>
      <c r="P81" s="26"/>
      <c r="Q81" s="26"/>
      <c r="R81" s="21"/>
      <c r="S81" s="21"/>
      <c r="T81" s="22"/>
      <c r="U81" s="22"/>
      <c r="V81" s="24" t="str">
        <f aca="false">IF(OR(N($P81)=0,$Q81=""),"",$Q81/$P81-1)</f>
        <v/>
      </c>
      <c r="W81" s="25" t="str">
        <f aca="true">IF($J81="","",IF($M81="Active",TODAY(),IF($U81&lt;&gt;"",$U81,IF($L81&lt;&gt;"",$L81,TODAY())))-$J81)</f>
        <v/>
      </c>
      <c r="X81" s="25" t="str">
        <f aca="true">IF(OR($L81="",$M81&lt;&gt;"Active"),"",TODAY()-$L81)</f>
        <v/>
      </c>
      <c r="Y81" s="25" t="str">
        <f aca="false">IF($M81&lt;&gt;"Active","",INDEX(Lists!$C$4:$C$14,MATCH($K81,Lists!$A$4:$A$14,0)))</f>
        <v/>
      </c>
      <c r="Z81" s="25" t="str">
        <f aca="false">IF($B81="","",IF($M81&lt;&gt;"Active","Closed",IF($X81="","",IF($X81&gt;$Y81,"BREACH","On Track"))))</f>
        <v/>
      </c>
      <c r="AA81" s="25" t="str">
        <f aca="false">IF($K81="","",IFERROR(INDEX(Lists!$E$4:$E$14,MATCH($K81,Lists!$A$4:$A$14,0)),""))</f>
        <v/>
      </c>
      <c r="AB81" s="27" t="str">
        <f aca="false">IF($U81&lt;&gt;"",$U81,IF(OR($T81="",$M81&lt;&gt;"Active"),"",$T81+N($R81)))</f>
        <v/>
      </c>
      <c r="AC81" s="25" t="str">
        <f aca="false">IF(OR($T81="",$J81=""),"",$T81-$J81)</f>
        <v/>
      </c>
      <c r="AD81" s="25" t="str">
        <f aca="false">IF(AND($K81="Joined",$U81&lt;&gt;"",$J81&lt;&gt;""),$U81-$J81,"")</f>
        <v/>
      </c>
      <c r="AE81" s="25" t="str">
        <f aca="false">IF($K81="","",IF(OR($K81="Rejected",$K81="Withdrawn"),IFERROR(INDEX(Lists!$B$4:$B$14,MATCH($N81,Lists!$A$4:$A$14,0)),1),IFERROR(INDEX(Lists!$B$4:$B$14,MATCH($K81,Lists!$A$4:$A$14,0)),0)))</f>
        <v/>
      </c>
    </row>
    <row r="82" customFormat="false" ht="15" hidden="false" customHeight="false" outlineLevel="0" collapsed="false">
      <c r="A82" s="25" t="str">
        <f aca="false">IF($B82="","","C-"&amp;TEXT(ROW()-1,"0000"))</f>
        <v/>
      </c>
      <c r="B82" s="21"/>
      <c r="C82" s="21"/>
      <c r="D82" s="21"/>
      <c r="E82" s="21"/>
      <c r="F82" s="25" t="str">
        <f aca="false">IF($E82="","",IFERROR(INDEX(Requisitions!$B$2:$B$101,MATCH($E82,Requisitions!$A$2:$A$101,0)),"Unknown Req"))</f>
        <v/>
      </c>
      <c r="G82" s="25" t="str">
        <f aca="false">IF($E82="","",IFERROR(INDEX(Requisitions!$D$2:$D$101,MATCH($E82,Requisitions!$A$2:$A$101,0)),""))</f>
        <v/>
      </c>
      <c r="H82" s="21"/>
      <c r="I82" s="21"/>
      <c r="J82" s="22"/>
      <c r="K82" s="21"/>
      <c r="L82" s="22"/>
      <c r="M82" s="25" t="str">
        <f aca="false">IF($K82="","",IFERROR(INDEX(Lists!$D$4:$D$14,MATCH($K82,Lists!$A$4:$A$14,0)),"Check stage"))</f>
        <v/>
      </c>
      <c r="N82" s="21"/>
      <c r="O82" s="21"/>
      <c r="P82" s="26"/>
      <c r="Q82" s="26"/>
      <c r="R82" s="21"/>
      <c r="S82" s="21"/>
      <c r="T82" s="22"/>
      <c r="U82" s="22"/>
      <c r="V82" s="24" t="str">
        <f aca="false">IF(OR(N($P82)=0,$Q82=""),"",$Q82/$P82-1)</f>
        <v/>
      </c>
      <c r="W82" s="25" t="str">
        <f aca="true">IF($J82="","",IF($M82="Active",TODAY(),IF($U82&lt;&gt;"",$U82,IF($L82&lt;&gt;"",$L82,TODAY())))-$J82)</f>
        <v/>
      </c>
      <c r="X82" s="25" t="str">
        <f aca="true">IF(OR($L82="",$M82&lt;&gt;"Active"),"",TODAY()-$L82)</f>
        <v/>
      </c>
      <c r="Y82" s="25" t="str">
        <f aca="false">IF($M82&lt;&gt;"Active","",INDEX(Lists!$C$4:$C$14,MATCH($K82,Lists!$A$4:$A$14,0)))</f>
        <v/>
      </c>
      <c r="Z82" s="25" t="str">
        <f aca="false">IF($B82="","",IF($M82&lt;&gt;"Active","Closed",IF($X82="","",IF($X82&gt;$Y82,"BREACH","On Track"))))</f>
        <v/>
      </c>
      <c r="AA82" s="25" t="str">
        <f aca="false">IF($K82="","",IFERROR(INDEX(Lists!$E$4:$E$14,MATCH($K82,Lists!$A$4:$A$14,0)),""))</f>
        <v/>
      </c>
      <c r="AB82" s="27" t="str">
        <f aca="false">IF($U82&lt;&gt;"",$U82,IF(OR($T82="",$M82&lt;&gt;"Active"),"",$T82+N($R82)))</f>
        <v/>
      </c>
      <c r="AC82" s="25" t="str">
        <f aca="false">IF(OR($T82="",$J82=""),"",$T82-$J82)</f>
        <v/>
      </c>
      <c r="AD82" s="25" t="str">
        <f aca="false">IF(AND($K82="Joined",$U82&lt;&gt;"",$J82&lt;&gt;""),$U82-$J82,"")</f>
        <v/>
      </c>
      <c r="AE82" s="25" t="str">
        <f aca="false">IF($K82="","",IF(OR($K82="Rejected",$K82="Withdrawn"),IFERROR(INDEX(Lists!$B$4:$B$14,MATCH($N82,Lists!$A$4:$A$14,0)),1),IFERROR(INDEX(Lists!$B$4:$B$14,MATCH($K82,Lists!$A$4:$A$14,0)),0)))</f>
        <v/>
      </c>
    </row>
    <row r="83" customFormat="false" ht="15" hidden="false" customHeight="false" outlineLevel="0" collapsed="false">
      <c r="A83" s="25" t="str">
        <f aca="false">IF($B83="","","C-"&amp;TEXT(ROW()-1,"0000"))</f>
        <v/>
      </c>
      <c r="B83" s="21"/>
      <c r="C83" s="21"/>
      <c r="D83" s="21"/>
      <c r="E83" s="21"/>
      <c r="F83" s="25" t="str">
        <f aca="false">IF($E83="","",IFERROR(INDEX(Requisitions!$B$2:$B$101,MATCH($E83,Requisitions!$A$2:$A$101,0)),"Unknown Req"))</f>
        <v/>
      </c>
      <c r="G83" s="25" t="str">
        <f aca="false">IF($E83="","",IFERROR(INDEX(Requisitions!$D$2:$D$101,MATCH($E83,Requisitions!$A$2:$A$101,0)),""))</f>
        <v/>
      </c>
      <c r="H83" s="21"/>
      <c r="I83" s="21"/>
      <c r="J83" s="22"/>
      <c r="K83" s="21"/>
      <c r="L83" s="22"/>
      <c r="M83" s="25" t="str">
        <f aca="false">IF($K83="","",IFERROR(INDEX(Lists!$D$4:$D$14,MATCH($K83,Lists!$A$4:$A$14,0)),"Check stage"))</f>
        <v/>
      </c>
      <c r="N83" s="21"/>
      <c r="O83" s="21"/>
      <c r="P83" s="26"/>
      <c r="Q83" s="26"/>
      <c r="R83" s="21"/>
      <c r="S83" s="21"/>
      <c r="T83" s="22"/>
      <c r="U83" s="22"/>
      <c r="V83" s="24" t="str">
        <f aca="false">IF(OR(N($P83)=0,$Q83=""),"",$Q83/$P83-1)</f>
        <v/>
      </c>
      <c r="W83" s="25" t="str">
        <f aca="true">IF($J83="","",IF($M83="Active",TODAY(),IF($U83&lt;&gt;"",$U83,IF($L83&lt;&gt;"",$L83,TODAY())))-$J83)</f>
        <v/>
      </c>
      <c r="X83" s="25" t="str">
        <f aca="true">IF(OR($L83="",$M83&lt;&gt;"Active"),"",TODAY()-$L83)</f>
        <v/>
      </c>
      <c r="Y83" s="25" t="str">
        <f aca="false">IF($M83&lt;&gt;"Active","",INDEX(Lists!$C$4:$C$14,MATCH($K83,Lists!$A$4:$A$14,0)))</f>
        <v/>
      </c>
      <c r="Z83" s="25" t="str">
        <f aca="false">IF($B83="","",IF($M83&lt;&gt;"Active","Closed",IF($X83="","",IF($X83&gt;$Y83,"BREACH","On Track"))))</f>
        <v/>
      </c>
      <c r="AA83" s="25" t="str">
        <f aca="false">IF($K83="","",IFERROR(INDEX(Lists!$E$4:$E$14,MATCH($K83,Lists!$A$4:$A$14,0)),""))</f>
        <v/>
      </c>
      <c r="AB83" s="27" t="str">
        <f aca="false">IF($U83&lt;&gt;"",$U83,IF(OR($T83="",$M83&lt;&gt;"Active"),"",$T83+N($R83)))</f>
        <v/>
      </c>
      <c r="AC83" s="25" t="str">
        <f aca="false">IF(OR($T83="",$J83=""),"",$T83-$J83)</f>
        <v/>
      </c>
      <c r="AD83" s="25" t="str">
        <f aca="false">IF(AND($K83="Joined",$U83&lt;&gt;"",$J83&lt;&gt;""),$U83-$J83,"")</f>
        <v/>
      </c>
      <c r="AE83" s="25" t="str">
        <f aca="false">IF($K83="","",IF(OR($K83="Rejected",$K83="Withdrawn"),IFERROR(INDEX(Lists!$B$4:$B$14,MATCH($N83,Lists!$A$4:$A$14,0)),1),IFERROR(INDEX(Lists!$B$4:$B$14,MATCH($K83,Lists!$A$4:$A$14,0)),0)))</f>
        <v/>
      </c>
    </row>
    <row r="84" customFormat="false" ht="15" hidden="false" customHeight="false" outlineLevel="0" collapsed="false">
      <c r="A84" s="25" t="str">
        <f aca="false">IF($B84="","","C-"&amp;TEXT(ROW()-1,"0000"))</f>
        <v/>
      </c>
      <c r="B84" s="21"/>
      <c r="C84" s="21"/>
      <c r="D84" s="21"/>
      <c r="E84" s="21"/>
      <c r="F84" s="25" t="str">
        <f aca="false">IF($E84="","",IFERROR(INDEX(Requisitions!$B$2:$B$101,MATCH($E84,Requisitions!$A$2:$A$101,0)),"Unknown Req"))</f>
        <v/>
      </c>
      <c r="G84" s="25" t="str">
        <f aca="false">IF($E84="","",IFERROR(INDEX(Requisitions!$D$2:$D$101,MATCH($E84,Requisitions!$A$2:$A$101,0)),""))</f>
        <v/>
      </c>
      <c r="H84" s="21"/>
      <c r="I84" s="21"/>
      <c r="J84" s="22"/>
      <c r="K84" s="21"/>
      <c r="L84" s="22"/>
      <c r="M84" s="25" t="str">
        <f aca="false">IF($K84="","",IFERROR(INDEX(Lists!$D$4:$D$14,MATCH($K84,Lists!$A$4:$A$14,0)),"Check stage"))</f>
        <v/>
      </c>
      <c r="N84" s="21"/>
      <c r="O84" s="21"/>
      <c r="P84" s="26"/>
      <c r="Q84" s="26"/>
      <c r="R84" s="21"/>
      <c r="S84" s="21"/>
      <c r="T84" s="22"/>
      <c r="U84" s="22"/>
      <c r="V84" s="24" t="str">
        <f aca="false">IF(OR(N($P84)=0,$Q84=""),"",$Q84/$P84-1)</f>
        <v/>
      </c>
      <c r="W84" s="25" t="str">
        <f aca="true">IF($J84="","",IF($M84="Active",TODAY(),IF($U84&lt;&gt;"",$U84,IF($L84&lt;&gt;"",$L84,TODAY())))-$J84)</f>
        <v/>
      </c>
      <c r="X84" s="25" t="str">
        <f aca="true">IF(OR($L84="",$M84&lt;&gt;"Active"),"",TODAY()-$L84)</f>
        <v/>
      </c>
      <c r="Y84" s="25" t="str">
        <f aca="false">IF($M84&lt;&gt;"Active","",INDEX(Lists!$C$4:$C$14,MATCH($K84,Lists!$A$4:$A$14,0)))</f>
        <v/>
      </c>
      <c r="Z84" s="25" t="str">
        <f aca="false">IF($B84="","",IF($M84&lt;&gt;"Active","Closed",IF($X84="","",IF($X84&gt;$Y84,"BREACH","On Track"))))</f>
        <v/>
      </c>
      <c r="AA84" s="25" t="str">
        <f aca="false">IF($K84="","",IFERROR(INDEX(Lists!$E$4:$E$14,MATCH($K84,Lists!$A$4:$A$14,0)),""))</f>
        <v/>
      </c>
      <c r="AB84" s="27" t="str">
        <f aca="false">IF($U84&lt;&gt;"",$U84,IF(OR($T84="",$M84&lt;&gt;"Active"),"",$T84+N($R84)))</f>
        <v/>
      </c>
      <c r="AC84" s="25" t="str">
        <f aca="false">IF(OR($T84="",$J84=""),"",$T84-$J84)</f>
        <v/>
      </c>
      <c r="AD84" s="25" t="str">
        <f aca="false">IF(AND($K84="Joined",$U84&lt;&gt;"",$J84&lt;&gt;""),$U84-$J84,"")</f>
        <v/>
      </c>
      <c r="AE84" s="25" t="str">
        <f aca="false">IF($K84="","",IF(OR($K84="Rejected",$K84="Withdrawn"),IFERROR(INDEX(Lists!$B$4:$B$14,MATCH($N84,Lists!$A$4:$A$14,0)),1),IFERROR(INDEX(Lists!$B$4:$B$14,MATCH($K84,Lists!$A$4:$A$14,0)),0)))</f>
        <v/>
      </c>
    </row>
    <row r="85" customFormat="false" ht="15" hidden="false" customHeight="false" outlineLevel="0" collapsed="false">
      <c r="A85" s="25" t="str">
        <f aca="false">IF($B85="","","C-"&amp;TEXT(ROW()-1,"0000"))</f>
        <v/>
      </c>
      <c r="B85" s="21"/>
      <c r="C85" s="21"/>
      <c r="D85" s="21"/>
      <c r="E85" s="21"/>
      <c r="F85" s="25" t="str">
        <f aca="false">IF($E85="","",IFERROR(INDEX(Requisitions!$B$2:$B$101,MATCH($E85,Requisitions!$A$2:$A$101,0)),"Unknown Req"))</f>
        <v/>
      </c>
      <c r="G85" s="25" t="str">
        <f aca="false">IF($E85="","",IFERROR(INDEX(Requisitions!$D$2:$D$101,MATCH($E85,Requisitions!$A$2:$A$101,0)),""))</f>
        <v/>
      </c>
      <c r="H85" s="21"/>
      <c r="I85" s="21"/>
      <c r="J85" s="22"/>
      <c r="K85" s="21"/>
      <c r="L85" s="22"/>
      <c r="M85" s="25" t="str">
        <f aca="false">IF($K85="","",IFERROR(INDEX(Lists!$D$4:$D$14,MATCH($K85,Lists!$A$4:$A$14,0)),"Check stage"))</f>
        <v/>
      </c>
      <c r="N85" s="21"/>
      <c r="O85" s="21"/>
      <c r="P85" s="26"/>
      <c r="Q85" s="26"/>
      <c r="R85" s="21"/>
      <c r="S85" s="21"/>
      <c r="T85" s="22"/>
      <c r="U85" s="22"/>
      <c r="V85" s="24" t="str">
        <f aca="false">IF(OR(N($P85)=0,$Q85=""),"",$Q85/$P85-1)</f>
        <v/>
      </c>
      <c r="W85" s="25" t="str">
        <f aca="true">IF($J85="","",IF($M85="Active",TODAY(),IF($U85&lt;&gt;"",$U85,IF($L85&lt;&gt;"",$L85,TODAY())))-$J85)</f>
        <v/>
      </c>
      <c r="X85" s="25" t="str">
        <f aca="true">IF(OR($L85="",$M85&lt;&gt;"Active"),"",TODAY()-$L85)</f>
        <v/>
      </c>
      <c r="Y85" s="25" t="str">
        <f aca="false">IF($M85&lt;&gt;"Active","",INDEX(Lists!$C$4:$C$14,MATCH($K85,Lists!$A$4:$A$14,0)))</f>
        <v/>
      </c>
      <c r="Z85" s="25" t="str">
        <f aca="false">IF($B85="","",IF($M85&lt;&gt;"Active","Closed",IF($X85="","",IF($X85&gt;$Y85,"BREACH","On Track"))))</f>
        <v/>
      </c>
      <c r="AA85" s="25" t="str">
        <f aca="false">IF($K85="","",IFERROR(INDEX(Lists!$E$4:$E$14,MATCH($K85,Lists!$A$4:$A$14,0)),""))</f>
        <v/>
      </c>
      <c r="AB85" s="27" t="str">
        <f aca="false">IF($U85&lt;&gt;"",$U85,IF(OR($T85="",$M85&lt;&gt;"Active"),"",$T85+N($R85)))</f>
        <v/>
      </c>
      <c r="AC85" s="25" t="str">
        <f aca="false">IF(OR($T85="",$J85=""),"",$T85-$J85)</f>
        <v/>
      </c>
      <c r="AD85" s="25" t="str">
        <f aca="false">IF(AND($K85="Joined",$U85&lt;&gt;"",$J85&lt;&gt;""),$U85-$J85,"")</f>
        <v/>
      </c>
      <c r="AE85" s="25" t="str">
        <f aca="false">IF($K85="","",IF(OR($K85="Rejected",$K85="Withdrawn"),IFERROR(INDEX(Lists!$B$4:$B$14,MATCH($N85,Lists!$A$4:$A$14,0)),1),IFERROR(INDEX(Lists!$B$4:$B$14,MATCH($K85,Lists!$A$4:$A$14,0)),0)))</f>
        <v/>
      </c>
    </row>
    <row r="86" customFormat="false" ht="15" hidden="false" customHeight="false" outlineLevel="0" collapsed="false">
      <c r="A86" s="25" t="str">
        <f aca="false">IF($B86="","","C-"&amp;TEXT(ROW()-1,"0000"))</f>
        <v/>
      </c>
      <c r="B86" s="21"/>
      <c r="C86" s="21"/>
      <c r="D86" s="21"/>
      <c r="E86" s="21"/>
      <c r="F86" s="25" t="str">
        <f aca="false">IF($E86="","",IFERROR(INDEX(Requisitions!$B$2:$B$101,MATCH($E86,Requisitions!$A$2:$A$101,0)),"Unknown Req"))</f>
        <v/>
      </c>
      <c r="G86" s="25" t="str">
        <f aca="false">IF($E86="","",IFERROR(INDEX(Requisitions!$D$2:$D$101,MATCH($E86,Requisitions!$A$2:$A$101,0)),""))</f>
        <v/>
      </c>
      <c r="H86" s="21"/>
      <c r="I86" s="21"/>
      <c r="J86" s="22"/>
      <c r="K86" s="21"/>
      <c r="L86" s="22"/>
      <c r="M86" s="25" t="str">
        <f aca="false">IF($K86="","",IFERROR(INDEX(Lists!$D$4:$D$14,MATCH($K86,Lists!$A$4:$A$14,0)),"Check stage"))</f>
        <v/>
      </c>
      <c r="N86" s="21"/>
      <c r="O86" s="21"/>
      <c r="P86" s="26"/>
      <c r="Q86" s="26"/>
      <c r="R86" s="21"/>
      <c r="S86" s="21"/>
      <c r="T86" s="22"/>
      <c r="U86" s="22"/>
      <c r="V86" s="24" t="str">
        <f aca="false">IF(OR(N($P86)=0,$Q86=""),"",$Q86/$P86-1)</f>
        <v/>
      </c>
      <c r="W86" s="25" t="str">
        <f aca="true">IF($J86="","",IF($M86="Active",TODAY(),IF($U86&lt;&gt;"",$U86,IF($L86&lt;&gt;"",$L86,TODAY())))-$J86)</f>
        <v/>
      </c>
      <c r="X86" s="25" t="str">
        <f aca="true">IF(OR($L86="",$M86&lt;&gt;"Active"),"",TODAY()-$L86)</f>
        <v/>
      </c>
      <c r="Y86" s="25" t="str">
        <f aca="false">IF($M86&lt;&gt;"Active","",INDEX(Lists!$C$4:$C$14,MATCH($K86,Lists!$A$4:$A$14,0)))</f>
        <v/>
      </c>
      <c r="Z86" s="25" t="str">
        <f aca="false">IF($B86="","",IF($M86&lt;&gt;"Active","Closed",IF($X86="","",IF($X86&gt;$Y86,"BREACH","On Track"))))</f>
        <v/>
      </c>
      <c r="AA86" s="25" t="str">
        <f aca="false">IF($K86="","",IFERROR(INDEX(Lists!$E$4:$E$14,MATCH($K86,Lists!$A$4:$A$14,0)),""))</f>
        <v/>
      </c>
      <c r="AB86" s="27" t="str">
        <f aca="false">IF($U86&lt;&gt;"",$U86,IF(OR($T86="",$M86&lt;&gt;"Active"),"",$T86+N($R86)))</f>
        <v/>
      </c>
      <c r="AC86" s="25" t="str">
        <f aca="false">IF(OR($T86="",$J86=""),"",$T86-$J86)</f>
        <v/>
      </c>
      <c r="AD86" s="25" t="str">
        <f aca="false">IF(AND($K86="Joined",$U86&lt;&gt;"",$J86&lt;&gt;""),$U86-$J86,"")</f>
        <v/>
      </c>
      <c r="AE86" s="25" t="str">
        <f aca="false">IF($K86="","",IF(OR($K86="Rejected",$K86="Withdrawn"),IFERROR(INDEX(Lists!$B$4:$B$14,MATCH($N86,Lists!$A$4:$A$14,0)),1),IFERROR(INDEX(Lists!$B$4:$B$14,MATCH($K86,Lists!$A$4:$A$14,0)),0)))</f>
        <v/>
      </c>
    </row>
    <row r="87" customFormat="false" ht="15" hidden="false" customHeight="false" outlineLevel="0" collapsed="false">
      <c r="A87" s="25" t="str">
        <f aca="false">IF($B87="","","C-"&amp;TEXT(ROW()-1,"0000"))</f>
        <v/>
      </c>
      <c r="B87" s="21"/>
      <c r="C87" s="21"/>
      <c r="D87" s="21"/>
      <c r="E87" s="21"/>
      <c r="F87" s="25" t="str">
        <f aca="false">IF($E87="","",IFERROR(INDEX(Requisitions!$B$2:$B$101,MATCH($E87,Requisitions!$A$2:$A$101,0)),"Unknown Req"))</f>
        <v/>
      </c>
      <c r="G87" s="25" t="str">
        <f aca="false">IF($E87="","",IFERROR(INDEX(Requisitions!$D$2:$D$101,MATCH($E87,Requisitions!$A$2:$A$101,0)),""))</f>
        <v/>
      </c>
      <c r="H87" s="21"/>
      <c r="I87" s="21"/>
      <c r="J87" s="22"/>
      <c r="K87" s="21"/>
      <c r="L87" s="22"/>
      <c r="M87" s="25" t="str">
        <f aca="false">IF($K87="","",IFERROR(INDEX(Lists!$D$4:$D$14,MATCH($K87,Lists!$A$4:$A$14,0)),"Check stage"))</f>
        <v/>
      </c>
      <c r="N87" s="21"/>
      <c r="O87" s="21"/>
      <c r="P87" s="26"/>
      <c r="Q87" s="26"/>
      <c r="R87" s="21"/>
      <c r="S87" s="21"/>
      <c r="T87" s="22"/>
      <c r="U87" s="22"/>
      <c r="V87" s="24" t="str">
        <f aca="false">IF(OR(N($P87)=0,$Q87=""),"",$Q87/$P87-1)</f>
        <v/>
      </c>
      <c r="W87" s="25" t="str">
        <f aca="true">IF($J87="","",IF($M87="Active",TODAY(),IF($U87&lt;&gt;"",$U87,IF($L87&lt;&gt;"",$L87,TODAY())))-$J87)</f>
        <v/>
      </c>
      <c r="X87" s="25" t="str">
        <f aca="true">IF(OR($L87="",$M87&lt;&gt;"Active"),"",TODAY()-$L87)</f>
        <v/>
      </c>
      <c r="Y87" s="25" t="str">
        <f aca="false">IF($M87&lt;&gt;"Active","",INDEX(Lists!$C$4:$C$14,MATCH($K87,Lists!$A$4:$A$14,0)))</f>
        <v/>
      </c>
      <c r="Z87" s="25" t="str">
        <f aca="false">IF($B87="","",IF($M87&lt;&gt;"Active","Closed",IF($X87="","",IF($X87&gt;$Y87,"BREACH","On Track"))))</f>
        <v/>
      </c>
      <c r="AA87" s="25" t="str">
        <f aca="false">IF($K87="","",IFERROR(INDEX(Lists!$E$4:$E$14,MATCH($K87,Lists!$A$4:$A$14,0)),""))</f>
        <v/>
      </c>
      <c r="AB87" s="27" t="str">
        <f aca="false">IF($U87&lt;&gt;"",$U87,IF(OR($T87="",$M87&lt;&gt;"Active"),"",$T87+N($R87)))</f>
        <v/>
      </c>
      <c r="AC87" s="25" t="str">
        <f aca="false">IF(OR($T87="",$J87=""),"",$T87-$J87)</f>
        <v/>
      </c>
      <c r="AD87" s="25" t="str">
        <f aca="false">IF(AND($K87="Joined",$U87&lt;&gt;"",$J87&lt;&gt;""),$U87-$J87,"")</f>
        <v/>
      </c>
      <c r="AE87" s="25" t="str">
        <f aca="false">IF($K87="","",IF(OR($K87="Rejected",$K87="Withdrawn"),IFERROR(INDEX(Lists!$B$4:$B$14,MATCH($N87,Lists!$A$4:$A$14,0)),1),IFERROR(INDEX(Lists!$B$4:$B$14,MATCH($K87,Lists!$A$4:$A$14,0)),0)))</f>
        <v/>
      </c>
    </row>
    <row r="88" customFormat="false" ht="15" hidden="false" customHeight="false" outlineLevel="0" collapsed="false">
      <c r="A88" s="25" t="str">
        <f aca="false">IF($B88="","","C-"&amp;TEXT(ROW()-1,"0000"))</f>
        <v/>
      </c>
      <c r="B88" s="21"/>
      <c r="C88" s="21"/>
      <c r="D88" s="21"/>
      <c r="E88" s="21"/>
      <c r="F88" s="25" t="str">
        <f aca="false">IF($E88="","",IFERROR(INDEX(Requisitions!$B$2:$B$101,MATCH($E88,Requisitions!$A$2:$A$101,0)),"Unknown Req"))</f>
        <v/>
      </c>
      <c r="G88" s="25" t="str">
        <f aca="false">IF($E88="","",IFERROR(INDEX(Requisitions!$D$2:$D$101,MATCH($E88,Requisitions!$A$2:$A$101,0)),""))</f>
        <v/>
      </c>
      <c r="H88" s="21"/>
      <c r="I88" s="21"/>
      <c r="J88" s="22"/>
      <c r="K88" s="21"/>
      <c r="L88" s="22"/>
      <c r="M88" s="25" t="str">
        <f aca="false">IF($K88="","",IFERROR(INDEX(Lists!$D$4:$D$14,MATCH($K88,Lists!$A$4:$A$14,0)),"Check stage"))</f>
        <v/>
      </c>
      <c r="N88" s="21"/>
      <c r="O88" s="21"/>
      <c r="P88" s="26"/>
      <c r="Q88" s="26"/>
      <c r="R88" s="21"/>
      <c r="S88" s="21"/>
      <c r="T88" s="22"/>
      <c r="U88" s="22"/>
      <c r="V88" s="24" t="str">
        <f aca="false">IF(OR(N($P88)=0,$Q88=""),"",$Q88/$P88-1)</f>
        <v/>
      </c>
      <c r="W88" s="25" t="str">
        <f aca="true">IF($J88="","",IF($M88="Active",TODAY(),IF($U88&lt;&gt;"",$U88,IF($L88&lt;&gt;"",$L88,TODAY())))-$J88)</f>
        <v/>
      </c>
      <c r="X88" s="25" t="str">
        <f aca="true">IF(OR($L88="",$M88&lt;&gt;"Active"),"",TODAY()-$L88)</f>
        <v/>
      </c>
      <c r="Y88" s="25" t="str">
        <f aca="false">IF($M88&lt;&gt;"Active","",INDEX(Lists!$C$4:$C$14,MATCH($K88,Lists!$A$4:$A$14,0)))</f>
        <v/>
      </c>
      <c r="Z88" s="25" t="str">
        <f aca="false">IF($B88="","",IF($M88&lt;&gt;"Active","Closed",IF($X88="","",IF($X88&gt;$Y88,"BREACH","On Track"))))</f>
        <v/>
      </c>
      <c r="AA88" s="25" t="str">
        <f aca="false">IF($K88="","",IFERROR(INDEX(Lists!$E$4:$E$14,MATCH($K88,Lists!$A$4:$A$14,0)),""))</f>
        <v/>
      </c>
      <c r="AB88" s="27" t="str">
        <f aca="false">IF($U88&lt;&gt;"",$U88,IF(OR($T88="",$M88&lt;&gt;"Active"),"",$T88+N($R88)))</f>
        <v/>
      </c>
      <c r="AC88" s="25" t="str">
        <f aca="false">IF(OR($T88="",$J88=""),"",$T88-$J88)</f>
        <v/>
      </c>
      <c r="AD88" s="25" t="str">
        <f aca="false">IF(AND($K88="Joined",$U88&lt;&gt;"",$J88&lt;&gt;""),$U88-$J88,"")</f>
        <v/>
      </c>
      <c r="AE88" s="25" t="str">
        <f aca="false">IF($K88="","",IF(OR($K88="Rejected",$K88="Withdrawn"),IFERROR(INDEX(Lists!$B$4:$B$14,MATCH($N88,Lists!$A$4:$A$14,0)),1),IFERROR(INDEX(Lists!$B$4:$B$14,MATCH($K88,Lists!$A$4:$A$14,0)),0)))</f>
        <v/>
      </c>
    </row>
    <row r="89" customFormat="false" ht="15" hidden="false" customHeight="false" outlineLevel="0" collapsed="false">
      <c r="A89" s="25" t="str">
        <f aca="false">IF($B89="","","C-"&amp;TEXT(ROW()-1,"0000"))</f>
        <v/>
      </c>
      <c r="B89" s="21"/>
      <c r="C89" s="21"/>
      <c r="D89" s="21"/>
      <c r="E89" s="21"/>
      <c r="F89" s="25" t="str">
        <f aca="false">IF($E89="","",IFERROR(INDEX(Requisitions!$B$2:$B$101,MATCH($E89,Requisitions!$A$2:$A$101,0)),"Unknown Req"))</f>
        <v/>
      </c>
      <c r="G89" s="25" t="str">
        <f aca="false">IF($E89="","",IFERROR(INDEX(Requisitions!$D$2:$D$101,MATCH($E89,Requisitions!$A$2:$A$101,0)),""))</f>
        <v/>
      </c>
      <c r="H89" s="21"/>
      <c r="I89" s="21"/>
      <c r="J89" s="22"/>
      <c r="K89" s="21"/>
      <c r="L89" s="22"/>
      <c r="M89" s="25" t="str">
        <f aca="false">IF($K89="","",IFERROR(INDEX(Lists!$D$4:$D$14,MATCH($K89,Lists!$A$4:$A$14,0)),"Check stage"))</f>
        <v/>
      </c>
      <c r="N89" s="21"/>
      <c r="O89" s="21"/>
      <c r="P89" s="26"/>
      <c r="Q89" s="26"/>
      <c r="R89" s="21"/>
      <c r="S89" s="21"/>
      <c r="T89" s="22"/>
      <c r="U89" s="22"/>
      <c r="V89" s="24" t="str">
        <f aca="false">IF(OR(N($P89)=0,$Q89=""),"",$Q89/$P89-1)</f>
        <v/>
      </c>
      <c r="W89" s="25" t="str">
        <f aca="true">IF($J89="","",IF($M89="Active",TODAY(),IF($U89&lt;&gt;"",$U89,IF($L89&lt;&gt;"",$L89,TODAY())))-$J89)</f>
        <v/>
      </c>
      <c r="X89" s="25" t="str">
        <f aca="true">IF(OR($L89="",$M89&lt;&gt;"Active"),"",TODAY()-$L89)</f>
        <v/>
      </c>
      <c r="Y89" s="25" t="str">
        <f aca="false">IF($M89&lt;&gt;"Active","",INDEX(Lists!$C$4:$C$14,MATCH($K89,Lists!$A$4:$A$14,0)))</f>
        <v/>
      </c>
      <c r="Z89" s="25" t="str">
        <f aca="false">IF($B89="","",IF($M89&lt;&gt;"Active","Closed",IF($X89="","",IF($X89&gt;$Y89,"BREACH","On Track"))))</f>
        <v/>
      </c>
      <c r="AA89" s="25" t="str">
        <f aca="false">IF($K89="","",IFERROR(INDEX(Lists!$E$4:$E$14,MATCH($K89,Lists!$A$4:$A$14,0)),""))</f>
        <v/>
      </c>
      <c r="AB89" s="27" t="str">
        <f aca="false">IF($U89&lt;&gt;"",$U89,IF(OR($T89="",$M89&lt;&gt;"Active"),"",$T89+N($R89)))</f>
        <v/>
      </c>
      <c r="AC89" s="25" t="str">
        <f aca="false">IF(OR($T89="",$J89=""),"",$T89-$J89)</f>
        <v/>
      </c>
      <c r="AD89" s="25" t="str">
        <f aca="false">IF(AND($K89="Joined",$U89&lt;&gt;"",$J89&lt;&gt;""),$U89-$J89,"")</f>
        <v/>
      </c>
      <c r="AE89" s="25" t="str">
        <f aca="false">IF($K89="","",IF(OR($K89="Rejected",$K89="Withdrawn"),IFERROR(INDEX(Lists!$B$4:$B$14,MATCH($N89,Lists!$A$4:$A$14,0)),1),IFERROR(INDEX(Lists!$B$4:$B$14,MATCH($K89,Lists!$A$4:$A$14,0)),0)))</f>
        <v/>
      </c>
    </row>
    <row r="90" customFormat="false" ht="15" hidden="false" customHeight="false" outlineLevel="0" collapsed="false">
      <c r="A90" s="25" t="str">
        <f aca="false">IF($B90="","","C-"&amp;TEXT(ROW()-1,"0000"))</f>
        <v/>
      </c>
      <c r="B90" s="21"/>
      <c r="C90" s="21"/>
      <c r="D90" s="21"/>
      <c r="E90" s="21"/>
      <c r="F90" s="25" t="str">
        <f aca="false">IF($E90="","",IFERROR(INDEX(Requisitions!$B$2:$B$101,MATCH($E90,Requisitions!$A$2:$A$101,0)),"Unknown Req"))</f>
        <v/>
      </c>
      <c r="G90" s="25" t="str">
        <f aca="false">IF($E90="","",IFERROR(INDEX(Requisitions!$D$2:$D$101,MATCH($E90,Requisitions!$A$2:$A$101,0)),""))</f>
        <v/>
      </c>
      <c r="H90" s="21"/>
      <c r="I90" s="21"/>
      <c r="J90" s="22"/>
      <c r="K90" s="21"/>
      <c r="L90" s="22"/>
      <c r="M90" s="25" t="str">
        <f aca="false">IF($K90="","",IFERROR(INDEX(Lists!$D$4:$D$14,MATCH($K90,Lists!$A$4:$A$14,0)),"Check stage"))</f>
        <v/>
      </c>
      <c r="N90" s="21"/>
      <c r="O90" s="21"/>
      <c r="P90" s="26"/>
      <c r="Q90" s="26"/>
      <c r="R90" s="21"/>
      <c r="S90" s="21"/>
      <c r="T90" s="22"/>
      <c r="U90" s="22"/>
      <c r="V90" s="24" t="str">
        <f aca="false">IF(OR(N($P90)=0,$Q90=""),"",$Q90/$P90-1)</f>
        <v/>
      </c>
      <c r="W90" s="25" t="str">
        <f aca="true">IF($J90="","",IF($M90="Active",TODAY(),IF($U90&lt;&gt;"",$U90,IF($L90&lt;&gt;"",$L90,TODAY())))-$J90)</f>
        <v/>
      </c>
      <c r="X90" s="25" t="str">
        <f aca="true">IF(OR($L90="",$M90&lt;&gt;"Active"),"",TODAY()-$L90)</f>
        <v/>
      </c>
      <c r="Y90" s="25" t="str">
        <f aca="false">IF($M90&lt;&gt;"Active","",INDEX(Lists!$C$4:$C$14,MATCH($K90,Lists!$A$4:$A$14,0)))</f>
        <v/>
      </c>
      <c r="Z90" s="25" t="str">
        <f aca="false">IF($B90="","",IF($M90&lt;&gt;"Active","Closed",IF($X90="","",IF($X90&gt;$Y90,"BREACH","On Track"))))</f>
        <v/>
      </c>
      <c r="AA90" s="25" t="str">
        <f aca="false">IF($K90="","",IFERROR(INDEX(Lists!$E$4:$E$14,MATCH($K90,Lists!$A$4:$A$14,0)),""))</f>
        <v/>
      </c>
      <c r="AB90" s="27" t="str">
        <f aca="false">IF($U90&lt;&gt;"",$U90,IF(OR($T90="",$M90&lt;&gt;"Active"),"",$T90+N($R90)))</f>
        <v/>
      </c>
      <c r="AC90" s="25" t="str">
        <f aca="false">IF(OR($T90="",$J90=""),"",$T90-$J90)</f>
        <v/>
      </c>
      <c r="AD90" s="25" t="str">
        <f aca="false">IF(AND($K90="Joined",$U90&lt;&gt;"",$J90&lt;&gt;""),$U90-$J90,"")</f>
        <v/>
      </c>
      <c r="AE90" s="25" t="str">
        <f aca="false">IF($K90="","",IF(OR($K90="Rejected",$K90="Withdrawn"),IFERROR(INDEX(Lists!$B$4:$B$14,MATCH($N90,Lists!$A$4:$A$14,0)),1),IFERROR(INDEX(Lists!$B$4:$B$14,MATCH($K90,Lists!$A$4:$A$14,0)),0)))</f>
        <v/>
      </c>
    </row>
    <row r="91" customFormat="false" ht="15" hidden="false" customHeight="false" outlineLevel="0" collapsed="false">
      <c r="A91" s="25" t="str">
        <f aca="false">IF($B91="","","C-"&amp;TEXT(ROW()-1,"0000"))</f>
        <v/>
      </c>
      <c r="B91" s="21"/>
      <c r="C91" s="21"/>
      <c r="D91" s="21"/>
      <c r="E91" s="21"/>
      <c r="F91" s="25" t="str">
        <f aca="false">IF($E91="","",IFERROR(INDEX(Requisitions!$B$2:$B$101,MATCH($E91,Requisitions!$A$2:$A$101,0)),"Unknown Req"))</f>
        <v/>
      </c>
      <c r="G91" s="25" t="str">
        <f aca="false">IF($E91="","",IFERROR(INDEX(Requisitions!$D$2:$D$101,MATCH($E91,Requisitions!$A$2:$A$101,0)),""))</f>
        <v/>
      </c>
      <c r="H91" s="21"/>
      <c r="I91" s="21"/>
      <c r="J91" s="22"/>
      <c r="K91" s="21"/>
      <c r="L91" s="22"/>
      <c r="M91" s="25" t="str">
        <f aca="false">IF($K91="","",IFERROR(INDEX(Lists!$D$4:$D$14,MATCH($K91,Lists!$A$4:$A$14,0)),"Check stage"))</f>
        <v/>
      </c>
      <c r="N91" s="21"/>
      <c r="O91" s="21"/>
      <c r="P91" s="26"/>
      <c r="Q91" s="26"/>
      <c r="R91" s="21"/>
      <c r="S91" s="21"/>
      <c r="T91" s="22"/>
      <c r="U91" s="22"/>
      <c r="V91" s="24" t="str">
        <f aca="false">IF(OR(N($P91)=0,$Q91=""),"",$Q91/$P91-1)</f>
        <v/>
      </c>
      <c r="W91" s="25" t="str">
        <f aca="true">IF($J91="","",IF($M91="Active",TODAY(),IF($U91&lt;&gt;"",$U91,IF($L91&lt;&gt;"",$L91,TODAY())))-$J91)</f>
        <v/>
      </c>
      <c r="X91" s="25" t="str">
        <f aca="true">IF(OR($L91="",$M91&lt;&gt;"Active"),"",TODAY()-$L91)</f>
        <v/>
      </c>
      <c r="Y91" s="25" t="str">
        <f aca="false">IF($M91&lt;&gt;"Active","",INDEX(Lists!$C$4:$C$14,MATCH($K91,Lists!$A$4:$A$14,0)))</f>
        <v/>
      </c>
      <c r="Z91" s="25" t="str">
        <f aca="false">IF($B91="","",IF($M91&lt;&gt;"Active","Closed",IF($X91="","",IF($X91&gt;$Y91,"BREACH","On Track"))))</f>
        <v/>
      </c>
      <c r="AA91" s="25" t="str">
        <f aca="false">IF($K91="","",IFERROR(INDEX(Lists!$E$4:$E$14,MATCH($K91,Lists!$A$4:$A$14,0)),""))</f>
        <v/>
      </c>
      <c r="AB91" s="27" t="str">
        <f aca="false">IF($U91&lt;&gt;"",$U91,IF(OR($T91="",$M91&lt;&gt;"Active"),"",$T91+N($R91)))</f>
        <v/>
      </c>
      <c r="AC91" s="25" t="str">
        <f aca="false">IF(OR($T91="",$J91=""),"",$T91-$J91)</f>
        <v/>
      </c>
      <c r="AD91" s="25" t="str">
        <f aca="false">IF(AND($K91="Joined",$U91&lt;&gt;"",$J91&lt;&gt;""),$U91-$J91,"")</f>
        <v/>
      </c>
      <c r="AE91" s="25" t="str">
        <f aca="false">IF($K91="","",IF(OR($K91="Rejected",$K91="Withdrawn"),IFERROR(INDEX(Lists!$B$4:$B$14,MATCH($N91,Lists!$A$4:$A$14,0)),1),IFERROR(INDEX(Lists!$B$4:$B$14,MATCH($K91,Lists!$A$4:$A$14,0)),0)))</f>
        <v/>
      </c>
    </row>
    <row r="92" customFormat="false" ht="15" hidden="false" customHeight="false" outlineLevel="0" collapsed="false">
      <c r="A92" s="25" t="str">
        <f aca="false">IF($B92="","","C-"&amp;TEXT(ROW()-1,"0000"))</f>
        <v/>
      </c>
      <c r="B92" s="21"/>
      <c r="C92" s="21"/>
      <c r="D92" s="21"/>
      <c r="E92" s="21"/>
      <c r="F92" s="25" t="str">
        <f aca="false">IF($E92="","",IFERROR(INDEX(Requisitions!$B$2:$B$101,MATCH($E92,Requisitions!$A$2:$A$101,0)),"Unknown Req"))</f>
        <v/>
      </c>
      <c r="G92" s="25" t="str">
        <f aca="false">IF($E92="","",IFERROR(INDEX(Requisitions!$D$2:$D$101,MATCH($E92,Requisitions!$A$2:$A$101,0)),""))</f>
        <v/>
      </c>
      <c r="H92" s="21"/>
      <c r="I92" s="21"/>
      <c r="J92" s="22"/>
      <c r="K92" s="21"/>
      <c r="L92" s="22"/>
      <c r="M92" s="25" t="str">
        <f aca="false">IF($K92="","",IFERROR(INDEX(Lists!$D$4:$D$14,MATCH($K92,Lists!$A$4:$A$14,0)),"Check stage"))</f>
        <v/>
      </c>
      <c r="N92" s="21"/>
      <c r="O92" s="21"/>
      <c r="P92" s="26"/>
      <c r="Q92" s="26"/>
      <c r="R92" s="21"/>
      <c r="S92" s="21"/>
      <c r="T92" s="22"/>
      <c r="U92" s="22"/>
      <c r="V92" s="24" t="str">
        <f aca="false">IF(OR(N($P92)=0,$Q92=""),"",$Q92/$P92-1)</f>
        <v/>
      </c>
      <c r="W92" s="25" t="str">
        <f aca="true">IF($J92="","",IF($M92="Active",TODAY(),IF($U92&lt;&gt;"",$U92,IF($L92&lt;&gt;"",$L92,TODAY())))-$J92)</f>
        <v/>
      </c>
      <c r="X92" s="25" t="str">
        <f aca="true">IF(OR($L92="",$M92&lt;&gt;"Active"),"",TODAY()-$L92)</f>
        <v/>
      </c>
      <c r="Y92" s="25" t="str">
        <f aca="false">IF($M92&lt;&gt;"Active","",INDEX(Lists!$C$4:$C$14,MATCH($K92,Lists!$A$4:$A$14,0)))</f>
        <v/>
      </c>
      <c r="Z92" s="25" t="str">
        <f aca="false">IF($B92="","",IF($M92&lt;&gt;"Active","Closed",IF($X92="","",IF($X92&gt;$Y92,"BREACH","On Track"))))</f>
        <v/>
      </c>
      <c r="AA92" s="25" t="str">
        <f aca="false">IF($K92="","",IFERROR(INDEX(Lists!$E$4:$E$14,MATCH($K92,Lists!$A$4:$A$14,0)),""))</f>
        <v/>
      </c>
      <c r="AB92" s="27" t="str">
        <f aca="false">IF($U92&lt;&gt;"",$U92,IF(OR($T92="",$M92&lt;&gt;"Active"),"",$T92+N($R92)))</f>
        <v/>
      </c>
      <c r="AC92" s="25" t="str">
        <f aca="false">IF(OR($T92="",$J92=""),"",$T92-$J92)</f>
        <v/>
      </c>
      <c r="AD92" s="25" t="str">
        <f aca="false">IF(AND($K92="Joined",$U92&lt;&gt;"",$J92&lt;&gt;""),$U92-$J92,"")</f>
        <v/>
      </c>
      <c r="AE92" s="25" t="str">
        <f aca="false">IF($K92="","",IF(OR($K92="Rejected",$K92="Withdrawn"),IFERROR(INDEX(Lists!$B$4:$B$14,MATCH($N92,Lists!$A$4:$A$14,0)),1),IFERROR(INDEX(Lists!$B$4:$B$14,MATCH($K92,Lists!$A$4:$A$14,0)),0)))</f>
        <v/>
      </c>
    </row>
    <row r="93" customFormat="false" ht="15" hidden="false" customHeight="false" outlineLevel="0" collapsed="false">
      <c r="A93" s="25" t="str">
        <f aca="false">IF($B93="","","C-"&amp;TEXT(ROW()-1,"0000"))</f>
        <v/>
      </c>
      <c r="B93" s="21"/>
      <c r="C93" s="21"/>
      <c r="D93" s="21"/>
      <c r="E93" s="21"/>
      <c r="F93" s="25" t="str">
        <f aca="false">IF($E93="","",IFERROR(INDEX(Requisitions!$B$2:$B$101,MATCH($E93,Requisitions!$A$2:$A$101,0)),"Unknown Req"))</f>
        <v/>
      </c>
      <c r="G93" s="25" t="str">
        <f aca="false">IF($E93="","",IFERROR(INDEX(Requisitions!$D$2:$D$101,MATCH($E93,Requisitions!$A$2:$A$101,0)),""))</f>
        <v/>
      </c>
      <c r="H93" s="21"/>
      <c r="I93" s="21"/>
      <c r="J93" s="22"/>
      <c r="K93" s="21"/>
      <c r="L93" s="22"/>
      <c r="M93" s="25" t="str">
        <f aca="false">IF($K93="","",IFERROR(INDEX(Lists!$D$4:$D$14,MATCH($K93,Lists!$A$4:$A$14,0)),"Check stage"))</f>
        <v/>
      </c>
      <c r="N93" s="21"/>
      <c r="O93" s="21"/>
      <c r="P93" s="26"/>
      <c r="Q93" s="26"/>
      <c r="R93" s="21"/>
      <c r="S93" s="21"/>
      <c r="T93" s="22"/>
      <c r="U93" s="22"/>
      <c r="V93" s="24" t="str">
        <f aca="false">IF(OR(N($P93)=0,$Q93=""),"",$Q93/$P93-1)</f>
        <v/>
      </c>
      <c r="W93" s="25" t="str">
        <f aca="true">IF($J93="","",IF($M93="Active",TODAY(),IF($U93&lt;&gt;"",$U93,IF($L93&lt;&gt;"",$L93,TODAY())))-$J93)</f>
        <v/>
      </c>
      <c r="X93" s="25" t="str">
        <f aca="true">IF(OR($L93="",$M93&lt;&gt;"Active"),"",TODAY()-$L93)</f>
        <v/>
      </c>
      <c r="Y93" s="25" t="str">
        <f aca="false">IF($M93&lt;&gt;"Active","",INDEX(Lists!$C$4:$C$14,MATCH($K93,Lists!$A$4:$A$14,0)))</f>
        <v/>
      </c>
      <c r="Z93" s="25" t="str">
        <f aca="false">IF($B93="","",IF($M93&lt;&gt;"Active","Closed",IF($X93="","",IF($X93&gt;$Y93,"BREACH","On Track"))))</f>
        <v/>
      </c>
      <c r="AA93" s="25" t="str">
        <f aca="false">IF($K93="","",IFERROR(INDEX(Lists!$E$4:$E$14,MATCH($K93,Lists!$A$4:$A$14,0)),""))</f>
        <v/>
      </c>
      <c r="AB93" s="27" t="str">
        <f aca="false">IF($U93&lt;&gt;"",$U93,IF(OR($T93="",$M93&lt;&gt;"Active"),"",$T93+N($R93)))</f>
        <v/>
      </c>
      <c r="AC93" s="25" t="str">
        <f aca="false">IF(OR($T93="",$J93=""),"",$T93-$J93)</f>
        <v/>
      </c>
      <c r="AD93" s="25" t="str">
        <f aca="false">IF(AND($K93="Joined",$U93&lt;&gt;"",$J93&lt;&gt;""),$U93-$J93,"")</f>
        <v/>
      </c>
      <c r="AE93" s="25" t="str">
        <f aca="false">IF($K93="","",IF(OR($K93="Rejected",$K93="Withdrawn"),IFERROR(INDEX(Lists!$B$4:$B$14,MATCH($N93,Lists!$A$4:$A$14,0)),1),IFERROR(INDEX(Lists!$B$4:$B$14,MATCH($K93,Lists!$A$4:$A$14,0)),0)))</f>
        <v/>
      </c>
    </row>
    <row r="94" customFormat="false" ht="15" hidden="false" customHeight="false" outlineLevel="0" collapsed="false">
      <c r="A94" s="25" t="str">
        <f aca="false">IF($B94="","","C-"&amp;TEXT(ROW()-1,"0000"))</f>
        <v/>
      </c>
      <c r="B94" s="21"/>
      <c r="C94" s="21"/>
      <c r="D94" s="21"/>
      <c r="E94" s="21"/>
      <c r="F94" s="25" t="str">
        <f aca="false">IF($E94="","",IFERROR(INDEX(Requisitions!$B$2:$B$101,MATCH($E94,Requisitions!$A$2:$A$101,0)),"Unknown Req"))</f>
        <v/>
      </c>
      <c r="G94" s="25" t="str">
        <f aca="false">IF($E94="","",IFERROR(INDEX(Requisitions!$D$2:$D$101,MATCH($E94,Requisitions!$A$2:$A$101,0)),""))</f>
        <v/>
      </c>
      <c r="H94" s="21"/>
      <c r="I94" s="21"/>
      <c r="J94" s="22"/>
      <c r="K94" s="21"/>
      <c r="L94" s="22"/>
      <c r="M94" s="25" t="str">
        <f aca="false">IF($K94="","",IFERROR(INDEX(Lists!$D$4:$D$14,MATCH($K94,Lists!$A$4:$A$14,0)),"Check stage"))</f>
        <v/>
      </c>
      <c r="N94" s="21"/>
      <c r="O94" s="21"/>
      <c r="P94" s="26"/>
      <c r="Q94" s="26"/>
      <c r="R94" s="21"/>
      <c r="S94" s="21"/>
      <c r="T94" s="22"/>
      <c r="U94" s="22"/>
      <c r="V94" s="24" t="str">
        <f aca="false">IF(OR(N($P94)=0,$Q94=""),"",$Q94/$P94-1)</f>
        <v/>
      </c>
      <c r="W94" s="25" t="str">
        <f aca="true">IF($J94="","",IF($M94="Active",TODAY(),IF($U94&lt;&gt;"",$U94,IF($L94&lt;&gt;"",$L94,TODAY())))-$J94)</f>
        <v/>
      </c>
      <c r="X94" s="25" t="str">
        <f aca="true">IF(OR($L94="",$M94&lt;&gt;"Active"),"",TODAY()-$L94)</f>
        <v/>
      </c>
      <c r="Y94" s="25" t="str">
        <f aca="false">IF($M94&lt;&gt;"Active","",INDEX(Lists!$C$4:$C$14,MATCH($K94,Lists!$A$4:$A$14,0)))</f>
        <v/>
      </c>
      <c r="Z94" s="25" t="str">
        <f aca="false">IF($B94="","",IF($M94&lt;&gt;"Active","Closed",IF($X94="","",IF($X94&gt;$Y94,"BREACH","On Track"))))</f>
        <v/>
      </c>
      <c r="AA94" s="25" t="str">
        <f aca="false">IF($K94="","",IFERROR(INDEX(Lists!$E$4:$E$14,MATCH($K94,Lists!$A$4:$A$14,0)),""))</f>
        <v/>
      </c>
      <c r="AB94" s="27" t="str">
        <f aca="false">IF($U94&lt;&gt;"",$U94,IF(OR($T94="",$M94&lt;&gt;"Active"),"",$T94+N($R94)))</f>
        <v/>
      </c>
      <c r="AC94" s="25" t="str">
        <f aca="false">IF(OR($T94="",$J94=""),"",$T94-$J94)</f>
        <v/>
      </c>
      <c r="AD94" s="25" t="str">
        <f aca="false">IF(AND($K94="Joined",$U94&lt;&gt;"",$J94&lt;&gt;""),$U94-$J94,"")</f>
        <v/>
      </c>
      <c r="AE94" s="25" t="str">
        <f aca="false">IF($K94="","",IF(OR($K94="Rejected",$K94="Withdrawn"),IFERROR(INDEX(Lists!$B$4:$B$14,MATCH($N94,Lists!$A$4:$A$14,0)),1),IFERROR(INDEX(Lists!$B$4:$B$14,MATCH($K94,Lists!$A$4:$A$14,0)),0)))</f>
        <v/>
      </c>
    </row>
    <row r="95" customFormat="false" ht="15" hidden="false" customHeight="false" outlineLevel="0" collapsed="false">
      <c r="A95" s="25" t="str">
        <f aca="false">IF($B95="","","C-"&amp;TEXT(ROW()-1,"0000"))</f>
        <v/>
      </c>
      <c r="B95" s="21"/>
      <c r="C95" s="21"/>
      <c r="D95" s="21"/>
      <c r="E95" s="21"/>
      <c r="F95" s="25" t="str">
        <f aca="false">IF($E95="","",IFERROR(INDEX(Requisitions!$B$2:$B$101,MATCH($E95,Requisitions!$A$2:$A$101,0)),"Unknown Req"))</f>
        <v/>
      </c>
      <c r="G95" s="25" t="str">
        <f aca="false">IF($E95="","",IFERROR(INDEX(Requisitions!$D$2:$D$101,MATCH($E95,Requisitions!$A$2:$A$101,0)),""))</f>
        <v/>
      </c>
      <c r="H95" s="21"/>
      <c r="I95" s="21"/>
      <c r="J95" s="22"/>
      <c r="K95" s="21"/>
      <c r="L95" s="22"/>
      <c r="M95" s="25" t="str">
        <f aca="false">IF($K95="","",IFERROR(INDEX(Lists!$D$4:$D$14,MATCH($K95,Lists!$A$4:$A$14,0)),"Check stage"))</f>
        <v/>
      </c>
      <c r="N95" s="21"/>
      <c r="O95" s="21"/>
      <c r="P95" s="26"/>
      <c r="Q95" s="26"/>
      <c r="R95" s="21"/>
      <c r="S95" s="21"/>
      <c r="T95" s="22"/>
      <c r="U95" s="22"/>
      <c r="V95" s="24" t="str">
        <f aca="false">IF(OR(N($P95)=0,$Q95=""),"",$Q95/$P95-1)</f>
        <v/>
      </c>
      <c r="W95" s="25" t="str">
        <f aca="true">IF($J95="","",IF($M95="Active",TODAY(),IF($U95&lt;&gt;"",$U95,IF($L95&lt;&gt;"",$L95,TODAY())))-$J95)</f>
        <v/>
      </c>
      <c r="X95" s="25" t="str">
        <f aca="true">IF(OR($L95="",$M95&lt;&gt;"Active"),"",TODAY()-$L95)</f>
        <v/>
      </c>
      <c r="Y95" s="25" t="str">
        <f aca="false">IF($M95&lt;&gt;"Active","",INDEX(Lists!$C$4:$C$14,MATCH($K95,Lists!$A$4:$A$14,0)))</f>
        <v/>
      </c>
      <c r="Z95" s="25" t="str">
        <f aca="false">IF($B95="","",IF($M95&lt;&gt;"Active","Closed",IF($X95="","",IF($X95&gt;$Y95,"BREACH","On Track"))))</f>
        <v/>
      </c>
      <c r="AA95" s="25" t="str">
        <f aca="false">IF($K95="","",IFERROR(INDEX(Lists!$E$4:$E$14,MATCH($K95,Lists!$A$4:$A$14,0)),""))</f>
        <v/>
      </c>
      <c r="AB95" s="27" t="str">
        <f aca="false">IF($U95&lt;&gt;"",$U95,IF(OR($T95="",$M95&lt;&gt;"Active"),"",$T95+N($R95)))</f>
        <v/>
      </c>
      <c r="AC95" s="25" t="str">
        <f aca="false">IF(OR($T95="",$J95=""),"",$T95-$J95)</f>
        <v/>
      </c>
      <c r="AD95" s="25" t="str">
        <f aca="false">IF(AND($K95="Joined",$U95&lt;&gt;"",$J95&lt;&gt;""),$U95-$J95,"")</f>
        <v/>
      </c>
      <c r="AE95" s="25" t="str">
        <f aca="false">IF($K95="","",IF(OR($K95="Rejected",$K95="Withdrawn"),IFERROR(INDEX(Lists!$B$4:$B$14,MATCH($N95,Lists!$A$4:$A$14,0)),1),IFERROR(INDEX(Lists!$B$4:$B$14,MATCH($K95,Lists!$A$4:$A$14,0)),0)))</f>
        <v/>
      </c>
    </row>
    <row r="96" customFormat="false" ht="15" hidden="false" customHeight="false" outlineLevel="0" collapsed="false">
      <c r="A96" s="25" t="str">
        <f aca="false">IF($B96="","","C-"&amp;TEXT(ROW()-1,"0000"))</f>
        <v/>
      </c>
      <c r="B96" s="21"/>
      <c r="C96" s="21"/>
      <c r="D96" s="21"/>
      <c r="E96" s="21"/>
      <c r="F96" s="25" t="str">
        <f aca="false">IF($E96="","",IFERROR(INDEX(Requisitions!$B$2:$B$101,MATCH($E96,Requisitions!$A$2:$A$101,0)),"Unknown Req"))</f>
        <v/>
      </c>
      <c r="G96" s="25" t="str">
        <f aca="false">IF($E96="","",IFERROR(INDEX(Requisitions!$D$2:$D$101,MATCH($E96,Requisitions!$A$2:$A$101,0)),""))</f>
        <v/>
      </c>
      <c r="H96" s="21"/>
      <c r="I96" s="21"/>
      <c r="J96" s="22"/>
      <c r="K96" s="21"/>
      <c r="L96" s="22"/>
      <c r="M96" s="25" t="str">
        <f aca="false">IF($K96="","",IFERROR(INDEX(Lists!$D$4:$D$14,MATCH($K96,Lists!$A$4:$A$14,0)),"Check stage"))</f>
        <v/>
      </c>
      <c r="N96" s="21"/>
      <c r="O96" s="21"/>
      <c r="P96" s="26"/>
      <c r="Q96" s="26"/>
      <c r="R96" s="21"/>
      <c r="S96" s="21"/>
      <c r="T96" s="22"/>
      <c r="U96" s="22"/>
      <c r="V96" s="24" t="str">
        <f aca="false">IF(OR(N($P96)=0,$Q96=""),"",$Q96/$P96-1)</f>
        <v/>
      </c>
      <c r="W96" s="25" t="str">
        <f aca="true">IF($J96="","",IF($M96="Active",TODAY(),IF($U96&lt;&gt;"",$U96,IF($L96&lt;&gt;"",$L96,TODAY())))-$J96)</f>
        <v/>
      </c>
      <c r="X96" s="25" t="str">
        <f aca="true">IF(OR($L96="",$M96&lt;&gt;"Active"),"",TODAY()-$L96)</f>
        <v/>
      </c>
      <c r="Y96" s="25" t="str">
        <f aca="false">IF($M96&lt;&gt;"Active","",INDEX(Lists!$C$4:$C$14,MATCH($K96,Lists!$A$4:$A$14,0)))</f>
        <v/>
      </c>
      <c r="Z96" s="25" t="str">
        <f aca="false">IF($B96="","",IF($M96&lt;&gt;"Active","Closed",IF($X96="","",IF($X96&gt;$Y96,"BREACH","On Track"))))</f>
        <v/>
      </c>
      <c r="AA96" s="25" t="str">
        <f aca="false">IF($K96="","",IFERROR(INDEX(Lists!$E$4:$E$14,MATCH($K96,Lists!$A$4:$A$14,0)),""))</f>
        <v/>
      </c>
      <c r="AB96" s="27" t="str">
        <f aca="false">IF($U96&lt;&gt;"",$U96,IF(OR($T96="",$M96&lt;&gt;"Active"),"",$T96+N($R96)))</f>
        <v/>
      </c>
      <c r="AC96" s="25" t="str">
        <f aca="false">IF(OR($T96="",$J96=""),"",$T96-$J96)</f>
        <v/>
      </c>
      <c r="AD96" s="25" t="str">
        <f aca="false">IF(AND($K96="Joined",$U96&lt;&gt;"",$J96&lt;&gt;""),$U96-$J96,"")</f>
        <v/>
      </c>
      <c r="AE96" s="25" t="str">
        <f aca="false">IF($K96="","",IF(OR($K96="Rejected",$K96="Withdrawn"),IFERROR(INDEX(Lists!$B$4:$B$14,MATCH($N96,Lists!$A$4:$A$14,0)),1),IFERROR(INDEX(Lists!$B$4:$B$14,MATCH($K96,Lists!$A$4:$A$14,0)),0)))</f>
        <v/>
      </c>
    </row>
    <row r="97" customFormat="false" ht="15" hidden="false" customHeight="false" outlineLevel="0" collapsed="false">
      <c r="A97" s="25" t="str">
        <f aca="false">IF($B97="","","C-"&amp;TEXT(ROW()-1,"0000"))</f>
        <v/>
      </c>
      <c r="B97" s="21"/>
      <c r="C97" s="21"/>
      <c r="D97" s="21"/>
      <c r="E97" s="21"/>
      <c r="F97" s="25" t="str">
        <f aca="false">IF($E97="","",IFERROR(INDEX(Requisitions!$B$2:$B$101,MATCH($E97,Requisitions!$A$2:$A$101,0)),"Unknown Req"))</f>
        <v/>
      </c>
      <c r="G97" s="25" t="str">
        <f aca="false">IF($E97="","",IFERROR(INDEX(Requisitions!$D$2:$D$101,MATCH($E97,Requisitions!$A$2:$A$101,0)),""))</f>
        <v/>
      </c>
      <c r="H97" s="21"/>
      <c r="I97" s="21"/>
      <c r="J97" s="22"/>
      <c r="K97" s="21"/>
      <c r="L97" s="22"/>
      <c r="M97" s="25" t="str">
        <f aca="false">IF($K97="","",IFERROR(INDEX(Lists!$D$4:$D$14,MATCH($K97,Lists!$A$4:$A$14,0)),"Check stage"))</f>
        <v/>
      </c>
      <c r="N97" s="21"/>
      <c r="O97" s="21"/>
      <c r="P97" s="26"/>
      <c r="Q97" s="26"/>
      <c r="R97" s="21"/>
      <c r="S97" s="21"/>
      <c r="T97" s="22"/>
      <c r="U97" s="22"/>
      <c r="V97" s="24" t="str">
        <f aca="false">IF(OR(N($P97)=0,$Q97=""),"",$Q97/$P97-1)</f>
        <v/>
      </c>
      <c r="W97" s="25" t="str">
        <f aca="true">IF($J97="","",IF($M97="Active",TODAY(),IF($U97&lt;&gt;"",$U97,IF($L97&lt;&gt;"",$L97,TODAY())))-$J97)</f>
        <v/>
      </c>
      <c r="X97" s="25" t="str">
        <f aca="true">IF(OR($L97="",$M97&lt;&gt;"Active"),"",TODAY()-$L97)</f>
        <v/>
      </c>
      <c r="Y97" s="25" t="str">
        <f aca="false">IF($M97&lt;&gt;"Active","",INDEX(Lists!$C$4:$C$14,MATCH($K97,Lists!$A$4:$A$14,0)))</f>
        <v/>
      </c>
      <c r="Z97" s="25" t="str">
        <f aca="false">IF($B97="","",IF($M97&lt;&gt;"Active","Closed",IF($X97="","",IF($X97&gt;$Y97,"BREACH","On Track"))))</f>
        <v/>
      </c>
      <c r="AA97" s="25" t="str">
        <f aca="false">IF($K97="","",IFERROR(INDEX(Lists!$E$4:$E$14,MATCH($K97,Lists!$A$4:$A$14,0)),""))</f>
        <v/>
      </c>
      <c r="AB97" s="27" t="str">
        <f aca="false">IF($U97&lt;&gt;"",$U97,IF(OR($T97="",$M97&lt;&gt;"Active"),"",$T97+N($R97)))</f>
        <v/>
      </c>
      <c r="AC97" s="25" t="str">
        <f aca="false">IF(OR($T97="",$J97=""),"",$T97-$J97)</f>
        <v/>
      </c>
      <c r="AD97" s="25" t="str">
        <f aca="false">IF(AND($K97="Joined",$U97&lt;&gt;"",$J97&lt;&gt;""),$U97-$J97,"")</f>
        <v/>
      </c>
      <c r="AE97" s="25" t="str">
        <f aca="false">IF($K97="","",IF(OR($K97="Rejected",$K97="Withdrawn"),IFERROR(INDEX(Lists!$B$4:$B$14,MATCH($N97,Lists!$A$4:$A$14,0)),1),IFERROR(INDEX(Lists!$B$4:$B$14,MATCH($K97,Lists!$A$4:$A$14,0)),0)))</f>
        <v/>
      </c>
    </row>
    <row r="98" customFormat="false" ht="15" hidden="false" customHeight="false" outlineLevel="0" collapsed="false">
      <c r="A98" s="25" t="str">
        <f aca="false">IF($B98="","","C-"&amp;TEXT(ROW()-1,"0000"))</f>
        <v/>
      </c>
      <c r="B98" s="21"/>
      <c r="C98" s="21"/>
      <c r="D98" s="21"/>
      <c r="E98" s="21"/>
      <c r="F98" s="25" t="str">
        <f aca="false">IF($E98="","",IFERROR(INDEX(Requisitions!$B$2:$B$101,MATCH($E98,Requisitions!$A$2:$A$101,0)),"Unknown Req"))</f>
        <v/>
      </c>
      <c r="G98" s="25" t="str">
        <f aca="false">IF($E98="","",IFERROR(INDEX(Requisitions!$D$2:$D$101,MATCH($E98,Requisitions!$A$2:$A$101,0)),""))</f>
        <v/>
      </c>
      <c r="H98" s="21"/>
      <c r="I98" s="21"/>
      <c r="J98" s="22"/>
      <c r="K98" s="21"/>
      <c r="L98" s="22"/>
      <c r="M98" s="25" t="str">
        <f aca="false">IF($K98="","",IFERROR(INDEX(Lists!$D$4:$D$14,MATCH($K98,Lists!$A$4:$A$14,0)),"Check stage"))</f>
        <v/>
      </c>
      <c r="N98" s="21"/>
      <c r="O98" s="21"/>
      <c r="P98" s="26"/>
      <c r="Q98" s="26"/>
      <c r="R98" s="21"/>
      <c r="S98" s="21"/>
      <c r="T98" s="22"/>
      <c r="U98" s="22"/>
      <c r="V98" s="24" t="str">
        <f aca="false">IF(OR(N($P98)=0,$Q98=""),"",$Q98/$P98-1)</f>
        <v/>
      </c>
      <c r="W98" s="25" t="str">
        <f aca="true">IF($J98="","",IF($M98="Active",TODAY(),IF($U98&lt;&gt;"",$U98,IF($L98&lt;&gt;"",$L98,TODAY())))-$J98)</f>
        <v/>
      </c>
      <c r="X98" s="25" t="str">
        <f aca="true">IF(OR($L98="",$M98&lt;&gt;"Active"),"",TODAY()-$L98)</f>
        <v/>
      </c>
      <c r="Y98" s="25" t="str">
        <f aca="false">IF($M98&lt;&gt;"Active","",INDEX(Lists!$C$4:$C$14,MATCH($K98,Lists!$A$4:$A$14,0)))</f>
        <v/>
      </c>
      <c r="Z98" s="25" t="str">
        <f aca="false">IF($B98="","",IF($M98&lt;&gt;"Active","Closed",IF($X98="","",IF($X98&gt;$Y98,"BREACH","On Track"))))</f>
        <v/>
      </c>
      <c r="AA98" s="25" t="str">
        <f aca="false">IF($K98="","",IFERROR(INDEX(Lists!$E$4:$E$14,MATCH($K98,Lists!$A$4:$A$14,0)),""))</f>
        <v/>
      </c>
      <c r="AB98" s="27" t="str">
        <f aca="false">IF($U98&lt;&gt;"",$U98,IF(OR($T98="",$M98&lt;&gt;"Active"),"",$T98+N($R98)))</f>
        <v/>
      </c>
      <c r="AC98" s="25" t="str">
        <f aca="false">IF(OR($T98="",$J98=""),"",$T98-$J98)</f>
        <v/>
      </c>
      <c r="AD98" s="25" t="str">
        <f aca="false">IF(AND($K98="Joined",$U98&lt;&gt;"",$J98&lt;&gt;""),$U98-$J98,"")</f>
        <v/>
      </c>
      <c r="AE98" s="25" t="str">
        <f aca="false">IF($K98="","",IF(OR($K98="Rejected",$K98="Withdrawn"),IFERROR(INDEX(Lists!$B$4:$B$14,MATCH($N98,Lists!$A$4:$A$14,0)),1),IFERROR(INDEX(Lists!$B$4:$B$14,MATCH($K98,Lists!$A$4:$A$14,0)),0)))</f>
        <v/>
      </c>
    </row>
    <row r="99" customFormat="false" ht="15" hidden="false" customHeight="false" outlineLevel="0" collapsed="false">
      <c r="A99" s="25" t="str">
        <f aca="false">IF($B99="","","C-"&amp;TEXT(ROW()-1,"0000"))</f>
        <v/>
      </c>
      <c r="B99" s="21"/>
      <c r="C99" s="21"/>
      <c r="D99" s="21"/>
      <c r="E99" s="21"/>
      <c r="F99" s="25" t="str">
        <f aca="false">IF($E99="","",IFERROR(INDEX(Requisitions!$B$2:$B$101,MATCH($E99,Requisitions!$A$2:$A$101,0)),"Unknown Req"))</f>
        <v/>
      </c>
      <c r="G99" s="25" t="str">
        <f aca="false">IF($E99="","",IFERROR(INDEX(Requisitions!$D$2:$D$101,MATCH($E99,Requisitions!$A$2:$A$101,0)),""))</f>
        <v/>
      </c>
      <c r="H99" s="21"/>
      <c r="I99" s="21"/>
      <c r="J99" s="22"/>
      <c r="K99" s="21"/>
      <c r="L99" s="22"/>
      <c r="M99" s="25" t="str">
        <f aca="false">IF($K99="","",IFERROR(INDEX(Lists!$D$4:$D$14,MATCH($K99,Lists!$A$4:$A$14,0)),"Check stage"))</f>
        <v/>
      </c>
      <c r="N99" s="21"/>
      <c r="O99" s="21"/>
      <c r="P99" s="26"/>
      <c r="Q99" s="26"/>
      <c r="R99" s="21"/>
      <c r="S99" s="21"/>
      <c r="T99" s="22"/>
      <c r="U99" s="22"/>
      <c r="V99" s="24" t="str">
        <f aca="false">IF(OR(N($P99)=0,$Q99=""),"",$Q99/$P99-1)</f>
        <v/>
      </c>
      <c r="W99" s="25" t="str">
        <f aca="true">IF($J99="","",IF($M99="Active",TODAY(),IF($U99&lt;&gt;"",$U99,IF($L99&lt;&gt;"",$L99,TODAY())))-$J99)</f>
        <v/>
      </c>
      <c r="X99" s="25" t="str">
        <f aca="true">IF(OR($L99="",$M99&lt;&gt;"Active"),"",TODAY()-$L99)</f>
        <v/>
      </c>
      <c r="Y99" s="25" t="str">
        <f aca="false">IF($M99&lt;&gt;"Active","",INDEX(Lists!$C$4:$C$14,MATCH($K99,Lists!$A$4:$A$14,0)))</f>
        <v/>
      </c>
      <c r="Z99" s="25" t="str">
        <f aca="false">IF($B99="","",IF($M99&lt;&gt;"Active","Closed",IF($X99="","",IF($X99&gt;$Y99,"BREACH","On Track"))))</f>
        <v/>
      </c>
      <c r="AA99" s="25" t="str">
        <f aca="false">IF($K99="","",IFERROR(INDEX(Lists!$E$4:$E$14,MATCH($K99,Lists!$A$4:$A$14,0)),""))</f>
        <v/>
      </c>
      <c r="AB99" s="27" t="str">
        <f aca="false">IF($U99&lt;&gt;"",$U99,IF(OR($T99="",$M99&lt;&gt;"Active"),"",$T99+N($R99)))</f>
        <v/>
      </c>
      <c r="AC99" s="25" t="str">
        <f aca="false">IF(OR($T99="",$J99=""),"",$T99-$J99)</f>
        <v/>
      </c>
      <c r="AD99" s="25" t="str">
        <f aca="false">IF(AND($K99="Joined",$U99&lt;&gt;"",$J99&lt;&gt;""),$U99-$J99,"")</f>
        <v/>
      </c>
      <c r="AE99" s="25" t="str">
        <f aca="false">IF($K99="","",IF(OR($K99="Rejected",$K99="Withdrawn"),IFERROR(INDEX(Lists!$B$4:$B$14,MATCH($N99,Lists!$A$4:$A$14,0)),1),IFERROR(INDEX(Lists!$B$4:$B$14,MATCH($K99,Lists!$A$4:$A$14,0)),0)))</f>
        <v/>
      </c>
    </row>
    <row r="100" customFormat="false" ht="15" hidden="false" customHeight="false" outlineLevel="0" collapsed="false">
      <c r="A100" s="25" t="str">
        <f aca="false">IF($B100="","","C-"&amp;TEXT(ROW()-1,"0000"))</f>
        <v/>
      </c>
      <c r="B100" s="21"/>
      <c r="C100" s="21"/>
      <c r="D100" s="21"/>
      <c r="E100" s="21"/>
      <c r="F100" s="25" t="str">
        <f aca="false">IF($E100="","",IFERROR(INDEX(Requisitions!$B$2:$B$101,MATCH($E100,Requisitions!$A$2:$A$101,0)),"Unknown Req"))</f>
        <v/>
      </c>
      <c r="G100" s="25" t="str">
        <f aca="false">IF($E100="","",IFERROR(INDEX(Requisitions!$D$2:$D$101,MATCH($E100,Requisitions!$A$2:$A$101,0)),""))</f>
        <v/>
      </c>
      <c r="H100" s="21"/>
      <c r="I100" s="21"/>
      <c r="J100" s="22"/>
      <c r="K100" s="21"/>
      <c r="L100" s="22"/>
      <c r="M100" s="25" t="str">
        <f aca="false">IF($K100="","",IFERROR(INDEX(Lists!$D$4:$D$14,MATCH($K100,Lists!$A$4:$A$14,0)),"Check stage"))</f>
        <v/>
      </c>
      <c r="N100" s="21"/>
      <c r="O100" s="21"/>
      <c r="P100" s="26"/>
      <c r="Q100" s="26"/>
      <c r="R100" s="21"/>
      <c r="S100" s="21"/>
      <c r="T100" s="22"/>
      <c r="U100" s="22"/>
      <c r="V100" s="24" t="str">
        <f aca="false">IF(OR(N($P100)=0,$Q100=""),"",$Q100/$P100-1)</f>
        <v/>
      </c>
      <c r="W100" s="25" t="str">
        <f aca="true">IF($J100="","",IF($M100="Active",TODAY(),IF($U100&lt;&gt;"",$U100,IF($L100&lt;&gt;"",$L100,TODAY())))-$J100)</f>
        <v/>
      </c>
      <c r="X100" s="25" t="str">
        <f aca="true">IF(OR($L100="",$M100&lt;&gt;"Active"),"",TODAY()-$L100)</f>
        <v/>
      </c>
      <c r="Y100" s="25" t="str">
        <f aca="false">IF($M100&lt;&gt;"Active","",INDEX(Lists!$C$4:$C$14,MATCH($K100,Lists!$A$4:$A$14,0)))</f>
        <v/>
      </c>
      <c r="Z100" s="25" t="str">
        <f aca="false">IF($B100="","",IF($M100&lt;&gt;"Active","Closed",IF($X100="","",IF($X100&gt;$Y100,"BREACH","On Track"))))</f>
        <v/>
      </c>
      <c r="AA100" s="25" t="str">
        <f aca="false">IF($K100="","",IFERROR(INDEX(Lists!$E$4:$E$14,MATCH($K100,Lists!$A$4:$A$14,0)),""))</f>
        <v/>
      </c>
      <c r="AB100" s="27" t="str">
        <f aca="false">IF($U100&lt;&gt;"",$U100,IF(OR($T100="",$M100&lt;&gt;"Active"),"",$T100+N($R100)))</f>
        <v/>
      </c>
      <c r="AC100" s="25" t="str">
        <f aca="false">IF(OR($T100="",$J100=""),"",$T100-$J100)</f>
        <v/>
      </c>
      <c r="AD100" s="25" t="str">
        <f aca="false">IF(AND($K100="Joined",$U100&lt;&gt;"",$J100&lt;&gt;""),$U100-$J100,"")</f>
        <v/>
      </c>
      <c r="AE100" s="25" t="str">
        <f aca="false">IF($K100="","",IF(OR($K100="Rejected",$K100="Withdrawn"),IFERROR(INDEX(Lists!$B$4:$B$14,MATCH($N100,Lists!$A$4:$A$14,0)),1),IFERROR(INDEX(Lists!$B$4:$B$14,MATCH($K100,Lists!$A$4:$A$14,0)),0)))</f>
        <v/>
      </c>
    </row>
    <row r="101" customFormat="false" ht="15" hidden="false" customHeight="false" outlineLevel="0" collapsed="false">
      <c r="A101" s="25" t="str">
        <f aca="false">IF($B101="","","C-"&amp;TEXT(ROW()-1,"0000"))</f>
        <v/>
      </c>
      <c r="B101" s="21"/>
      <c r="C101" s="21"/>
      <c r="D101" s="21"/>
      <c r="E101" s="21"/>
      <c r="F101" s="25" t="str">
        <f aca="false">IF($E101="","",IFERROR(INDEX(Requisitions!$B$2:$B$101,MATCH($E101,Requisitions!$A$2:$A$101,0)),"Unknown Req"))</f>
        <v/>
      </c>
      <c r="G101" s="25" t="str">
        <f aca="false">IF($E101="","",IFERROR(INDEX(Requisitions!$D$2:$D$101,MATCH($E101,Requisitions!$A$2:$A$101,0)),""))</f>
        <v/>
      </c>
      <c r="H101" s="21"/>
      <c r="I101" s="21"/>
      <c r="J101" s="22"/>
      <c r="K101" s="21"/>
      <c r="L101" s="22"/>
      <c r="M101" s="25" t="str">
        <f aca="false">IF($K101="","",IFERROR(INDEX(Lists!$D$4:$D$14,MATCH($K101,Lists!$A$4:$A$14,0)),"Check stage"))</f>
        <v/>
      </c>
      <c r="N101" s="21"/>
      <c r="O101" s="21"/>
      <c r="P101" s="26"/>
      <c r="Q101" s="26"/>
      <c r="R101" s="21"/>
      <c r="S101" s="21"/>
      <c r="T101" s="22"/>
      <c r="U101" s="22"/>
      <c r="V101" s="24" t="str">
        <f aca="false">IF(OR(N($P101)=0,$Q101=""),"",$Q101/$P101-1)</f>
        <v/>
      </c>
      <c r="W101" s="25" t="str">
        <f aca="true">IF($J101="","",IF($M101="Active",TODAY(),IF($U101&lt;&gt;"",$U101,IF($L101&lt;&gt;"",$L101,TODAY())))-$J101)</f>
        <v/>
      </c>
      <c r="X101" s="25" t="str">
        <f aca="true">IF(OR($L101="",$M101&lt;&gt;"Active"),"",TODAY()-$L101)</f>
        <v/>
      </c>
      <c r="Y101" s="25" t="str">
        <f aca="false">IF($M101&lt;&gt;"Active","",INDEX(Lists!$C$4:$C$14,MATCH($K101,Lists!$A$4:$A$14,0)))</f>
        <v/>
      </c>
      <c r="Z101" s="25" t="str">
        <f aca="false">IF($B101="","",IF($M101&lt;&gt;"Active","Closed",IF($X101="","",IF($X101&gt;$Y101,"BREACH","On Track"))))</f>
        <v/>
      </c>
      <c r="AA101" s="25" t="str">
        <f aca="false">IF($K101="","",IFERROR(INDEX(Lists!$E$4:$E$14,MATCH($K101,Lists!$A$4:$A$14,0)),""))</f>
        <v/>
      </c>
      <c r="AB101" s="27" t="str">
        <f aca="false">IF($U101&lt;&gt;"",$U101,IF(OR($T101="",$M101&lt;&gt;"Active"),"",$T101+N($R101)))</f>
        <v/>
      </c>
      <c r="AC101" s="25" t="str">
        <f aca="false">IF(OR($T101="",$J101=""),"",$T101-$J101)</f>
        <v/>
      </c>
      <c r="AD101" s="25" t="str">
        <f aca="false">IF(AND($K101="Joined",$U101&lt;&gt;"",$J101&lt;&gt;""),$U101-$J101,"")</f>
        <v/>
      </c>
      <c r="AE101" s="25" t="str">
        <f aca="false">IF($K101="","",IF(OR($K101="Rejected",$K101="Withdrawn"),IFERROR(INDEX(Lists!$B$4:$B$14,MATCH($N101,Lists!$A$4:$A$14,0)),1),IFERROR(INDEX(Lists!$B$4:$B$14,MATCH($K101,Lists!$A$4:$A$14,0)),0)))</f>
        <v/>
      </c>
    </row>
    <row r="102" customFormat="false" ht="15" hidden="false" customHeight="false" outlineLevel="0" collapsed="false">
      <c r="A102" s="25" t="str">
        <f aca="false">IF($B102="","","C-"&amp;TEXT(ROW()-1,"0000"))</f>
        <v/>
      </c>
      <c r="B102" s="21"/>
      <c r="C102" s="21"/>
      <c r="D102" s="21"/>
      <c r="E102" s="21"/>
      <c r="F102" s="25" t="str">
        <f aca="false">IF($E102="","",IFERROR(INDEX(Requisitions!$B$2:$B$101,MATCH($E102,Requisitions!$A$2:$A$101,0)),"Unknown Req"))</f>
        <v/>
      </c>
      <c r="G102" s="25" t="str">
        <f aca="false">IF($E102="","",IFERROR(INDEX(Requisitions!$D$2:$D$101,MATCH($E102,Requisitions!$A$2:$A$101,0)),""))</f>
        <v/>
      </c>
      <c r="H102" s="21"/>
      <c r="I102" s="21"/>
      <c r="J102" s="22"/>
      <c r="K102" s="21"/>
      <c r="L102" s="22"/>
      <c r="M102" s="25" t="str">
        <f aca="false">IF($K102="","",IFERROR(INDEX(Lists!$D$4:$D$14,MATCH($K102,Lists!$A$4:$A$14,0)),"Check stage"))</f>
        <v/>
      </c>
      <c r="N102" s="21"/>
      <c r="O102" s="21"/>
      <c r="P102" s="26"/>
      <c r="Q102" s="26"/>
      <c r="R102" s="21"/>
      <c r="S102" s="21"/>
      <c r="T102" s="22"/>
      <c r="U102" s="22"/>
      <c r="V102" s="24" t="str">
        <f aca="false">IF(OR(N($P102)=0,$Q102=""),"",$Q102/$P102-1)</f>
        <v/>
      </c>
      <c r="W102" s="25" t="str">
        <f aca="true">IF($J102="","",IF($M102="Active",TODAY(),IF($U102&lt;&gt;"",$U102,IF($L102&lt;&gt;"",$L102,TODAY())))-$J102)</f>
        <v/>
      </c>
      <c r="X102" s="25" t="str">
        <f aca="true">IF(OR($L102="",$M102&lt;&gt;"Active"),"",TODAY()-$L102)</f>
        <v/>
      </c>
      <c r="Y102" s="25" t="str">
        <f aca="false">IF($M102&lt;&gt;"Active","",INDEX(Lists!$C$4:$C$14,MATCH($K102,Lists!$A$4:$A$14,0)))</f>
        <v/>
      </c>
      <c r="Z102" s="25" t="str">
        <f aca="false">IF($B102="","",IF($M102&lt;&gt;"Active","Closed",IF($X102="","",IF($X102&gt;$Y102,"BREACH","On Track"))))</f>
        <v/>
      </c>
      <c r="AA102" s="25" t="str">
        <f aca="false">IF($K102="","",IFERROR(INDEX(Lists!$E$4:$E$14,MATCH($K102,Lists!$A$4:$A$14,0)),""))</f>
        <v/>
      </c>
      <c r="AB102" s="27" t="str">
        <f aca="false">IF($U102&lt;&gt;"",$U102,IF(OR($T102="",$M102&lt;&gt;"Active"),"",$T102+N($R102)))</f>
        <v/>
      </c>
      <c r="AC102" s="25" t="str">
        <f aca="false">IF(OR($T102="",$J102=""),"",$T102-$J102)</f>
        <v/>
      </c>
      <c r="AD102" s="25" t="str">
        <f aca="false">IF(AND($K102="Joined",$U102&lt;&gt;"",$J102&lt;&gt;""),$U102-$J102,"")</f>
        <v/>
      </c>
      <c r="AE102" s="25" t="str">
        <f aca="false">IF($K102="","",IF(OR($K102="Rejected",$K102="Withdrawn"),IFERROR(INDEX(Lists!$B$4:$B$14,MATCH($N102,Lists!$A$4:$A$14,0)),1),IFERROR(INDEX(Lists!$B$4:$B$14,MATCH($K102,Lists!$A$4:$A$14,0)),0)))</f>
        <v/>
      </c>
    </row>
    <row r="103" customFormat="false" ht="15" hidden="false" customHeight="false" outlineLevel="0" collapsed="false">
      <c r="A103" s="25" t="str">
        <f aca="false">IF($B103="","","C-"&amp;TEXT(ROW()-1,"0000"))</f>
        <v/>
      </c>
      <c r="B103" s="21"/>
      <c r="C103" s="21"/>
      <c r="D103" s="21"/>
      <c r="E103" s="21"/>
      <c r="F103" s="25" t="str">
        <f aca="false">IF($E103="","",IFERROR(INDEX(Requisitions!$B$2:$B$101,MATCH($E103,Requisitions!$A$2:$A$101,0)),"Unknown Req"))</f>
        <v/>
      </c>
      <c r="G103" s="25" t="str">
        <f aca="false">IF($E103="","",IFERROR(INDEX(Requisitions!$D$2:$D$101,MATCH($E103,Requisitions!$A$2:$A$101,0)),""))</f>
        <v/>
      </c>
      <c r="H103" s="21"/>
      <c r="I103" s="21"/>
      <c r="J103" s="22"/>
      <c r="K103" s="21"/>
      <c r="L103" s="22"/>
      <c r="M103" s="25" t="str">
        <f aca="false">IF($K103="","",IFERROR(INDEX(Lists!$D$4:$D$14,MATCH($K103,Lists!$A$4:$A$14,0)),"Check stage"))</f>
        <v/>
      </c>
      <c r="N103" s="21"/>
      <c r="O103" s="21"/>
      <c r="P103" s="26"/>
      <c r="Q103" s="26"/>
      <c r="R103" s="21"/>
      <c r="S103" s="21"/>
      <c r="T103" s="22"/>
      <c r="U103" s="22"/>
      <c r="V103" s="24" t="str">
        <f aca="false">IF(OR(N($P103)=0,$Q103=""),"",$Q103/$P103-1)</f>
        <v/>
      </c>
      <c r="W103" s="25" t="str">
        <f aca="true">IF($J103="","",IF($M103="Active",TODAY(),IF($U103&lt;&gt;"",$U103,IF($L103&lt;&gt;"",$L103,TODAY())))-$J103)</f>
        <v/>
      </c>
      <c r="X103" s="25" t="str">
        <f aca="true">IF(OR($L103="",$M103&lt;&gt;"Active"),"",TODAY()-$L103)</f>
        <v/>
      </c>
      <c r="Y103" s="25" t="str">
        <f aca="false">IF($M103&lt;&gt;"Active","",INDEX(Lists!$C$4:$C$14,MATCH($K103,Lists!$A$4:$A$14,0)))</f>
        <v/>
      </c>
      <c r="Z103" s="25" t="str">
        <f aca="false">IF($B103="","",IF($M103&lt;&gt;"Active","Closed",IF($X103="","",IF($X103&gt;$Y103,"BREACH","On Track"))))</f>
        <v/>
      </c>
      <c r="AA103" s="25" t="str">
        <f aca="false">IF($K103="","",IFERROR(INDEX(Lists!$E$4:$E$14,MATCH($K103,Lists!$A$4:$A$14,0)),""))</f>
        <v/>
      </c>
      <c r="AB103" s="27" t="str">
        <f aca="false">IF($U103&lt;&gt;"",$U103,IF(OR($T103="",$M103&lt;&gt;"Active"),"",$T103+N($R103)))</f>
        <v/>
      </c>
      <c r="AC103" s="25" t="str">
        <f aca="false">IF(OR($T103="",$J103=""),"",$T103-$J103)</f>
        <v/>
      </c>
      <c r="AD103" s="25" t="str">
        <f aca="false">IF(AND($K103="Joined",$U103&lt;&gt;"",$J103&lt;&gt;""),$U103-$J103,"")</f>
        <v/>
      </c>
      <c r="AE103" s="25" t="str">
        <f aca="false">IF($K103="","",IF(OR($K103="Rejected",$K103="Withdrawn"),IFERROR(INDEX(Lists!$B$4:$B$14,MATCH($N103,Lists!$A$4:$A$14,0)),1),IFERROR(INDEX(Lists!$B$4:$B$14,MATCH($K103,Lists!$A$4:$A$14,0)),0)))</f>
        <v/>
      </c>
    </row>
    <row r="104" customFormat="false" ht="15" hidden="false" customHeight="false" outlineLevel="0" collapsed="false">
      <c r="A104" s="25" t="str">
        <f aca="false">IF($B104="","","C-"&amp;TEXT(ROW()-1,"0000"))</f>
        <v/>
      </c>
      <c r="B104" s="21"/>
      <c r="C104" s="21"/>
      <c r="D104" s="21"/>
      <c r="E104" s="21"/>
      <c r="F104" s="25" t="str">
        <f aca="false">IF($E104="","",IFERROR(INDEX(Requisitions!$B$2:$B$101,MATCH($E104,Requisitions!$A$2:$A$101,0)),"Unknown Req"))</f>
        <v/>
      </c>
      <c r="G104" s="25" t="str">
        <f aca="false">IF($E104="","",IFERROR(INDEX(Requisitions!$D$2:$D$101,MATCH($E104,Requisitions!$A$2:$A$101,0)),""))</f>
        <v/>
      </c>
      <c r="H104" s="21"/>
      <c r="I104" s="21"/>
      <c r="J104" s="22"/>
      <c r="K104" s="21"/>
      <c r="L104" s="22"/>
      <c r="M104" s="25" t="str">
        <f aca="false">IF($K104="","",IFERROR(INDEX(Lists!$D$4:$D$14,MATCH($K104,Lists!$A$4:$A$14,0)),"Check stage"))</f>
        <v/>
      </c>
      <c r="N104" s="21"/>
      <c r="O104" s="21"/>
      <c r="P104" s="26"/>
      <c r="Q104" s="26"/>
      <c r="R104" s="21"/>
      <c r="S104" s="21"/>
      <c r="T104" s="22"/>
      <c r="U104" s="22"/>
      <c r="V104" s="24" t="str">
        <f aca="false">IF(OR(N($P104)=0,$Q104=""),"",$Q104/$P104-1)</f>
        <v/>
      </c>
      <c r="W104" s="25" t="str">
        <f aca="true">IF($J104="","",IF($M104="Active",TODAY(),IF($U104&lt;&gt;"",$U104,IF($L104&lt;&gt;"",$L104,TODAY())))-$J104)</f>
        <v/>
      </c>
      <c r="X104" s="25" t="str">
        <f aca="true">IF(OR($L104="",$M104&lt;&gt;"Active"),"",TODAY()-$L104)</f>
        <v/>
      </c>
      <c r="Y104" s="25" t="str">
        <f aca="false">IF($M104&lt;&gt;"Active","",INDEX(Lists!$C$4:$C$14,MATCH($K104,Lists!$A$4:$A$14,0)))</f>
        <v/>
      </c>
      <c r="Z104" s="25" t="str">
        <f aca="false">IF($B104="","",IF($M104&lt;&gt;"Active","Closed",IF($X104="","",IF($X104&gt;$Y104,"BREACH","On Track"))))</f>
        <v/>
      </c>
      <c r="AA104" s="25" t="str">
        <f aca="false">IF($K104="","",IFERROR(INDEX(Lists!$E$4:$E$14,MATCH($K104,Lists!$A$4:$A$14,0)),""))</f>
        <v/>
      </c>
      <c r="AB104" s="27" t="str">
        <f aca="false">IF($U104&lt;&gt;"",$U104,IF(OR($T104="",$M104&lt;&gt;"Active"),"",$T104+N($R104)))</f>
        <v/>
      </c>
      <c r="AC104" s="25" t="str">
        <f aca="false">IF(OR($T104="",$J104=""),"",$T104-$J104)</f>
        <v/>
      </c>
      <c r="AD104" s="25" t="str">
        <f aca="false">IF(AND($K104="Joined",$U104&lt;&gt;"",$J104&lt;&gt;""),$U104-$J104,"")</f>
        <v/>
      </c>
      <c r="AE104" s="25" t="str">
        <f aca="false">IF($K104="","",IF(OR($K104="Rejected",$K104="Withdrawn"),IFERROR(INDEX(Lists!$B$4:$B$14,MATCH($N104,Lists!$A$4:$A$14,0)),1),IFERROR(INDEX(Lists!$B$4:$B$14,MATCH($K104,Lists!$A$4:$A$14,0)),0)))</f>
        <v/>
      </c>
    </row>
    <row r="105" customFormat="false" ht="15" hidden="false" customHeight="false" outlineLevel="0" collapsed="false">
      <c r="A105" s="25" t="str">
        <f aca="false">IF($B105="","","C-"&amp;TEXT(ROW()-1,"0000"))</f>
        <v/>
      </c>
      <c r="B105" s="21"/>
      <c r="C105" s="21"/>
      <c r="D105" s="21"/>
      <c r="E105" s="21"/>
      <c r="F105" s="25" t="str">
        <f aca="false">IF($E105="","",IFERROR(INDEX(Requisitions!$B$2:$B$101,MATCH($E105,Requisitions!$A$2:$A$101,0)),"Unknown Req"))</f>
        <v/>
      </c>
      <c r="G105" s="25" t="str">
        <f aca="false">IF($E105="","",IFERROR(INDEX(Requisitions!$D$2:$D$101,MATCH($E105,Requisitions!$A$2:$A$101,0)),""))</f>
        <v/>
      </c>
      <c r="H105" s="21"/>
      <c r="I105" s="21"/>
      <c r="J105" s="22"/>
      <c r="K105" s="21"/>
      <c r="L105" s="22"/>
      <c r="M105" s="25" t="str">
        <f aca="false">IF($K105="","",IFERROR(INDEX(Lists!$D$4:$D$14,MATCH($K105,Lists!$A$4:$A$14,0)),"Check stage"))</f>
        <v/>
      </c>
      <c r="N105" s="21"/>
      <c r="O105" s="21"/>
      <c r="P105" s="26"/>
      <c r="Q105" s="26"/>
      <c r="R105" s="21"/>
      <c r="S105" s="21"/>
      <c r="T105" s="22"/>
      <c r="U105" s="22"/>
      <c r="V105" s="24" t="str">
        <f aca="false">IF(OR(N($P105)=0,$Q105=""),"",$Q105/$P105-1)</f>
        <v/>
      </c>
      <c r="W105" s="25" t="str">
        <f aca="true">IF($J105="","",IF($M105="Active",TODAY(),IF($U105&lt;&gt;"",$U105,IF($L105&lt;&gt;"",$L105,TODAY())))-$J105)</f>
        <v/>
      </c>
      <c r="X105" s="25" t="str">
        <f aca="true">IF(OR($L105="",$M105&lt;&gt;"Active"),"",TODAY()-$L105)</f>
        <v/>
      </c>
      <c r="Y105" s="25" t="str">
        <f aca="false">IF($M105&lt;&gt;"Active","",INDEX(Lists!$C$4:$C$14,MATCH($K105,Lists!$A$4:$A$14,0)))</f>
        <v/>
      </c>
      <c r="Z105" s="25" t="str">
        <f aca="false">IF($B105="","",IF($M105&lt;&gt;"Active","Closed",IF($X105="","",IF($X105&gt;$Y105,"BREACH","On Track"))))</f>
        <v/>
      </c>
      <c r="AA105" s="25" t="str">
        <f aca="false">IF($K105="","",IFERROR(INDEX(Lists!$E$4:$E$14,MATCH($K105,Lists!$A$4:$A$14,0)),""))</f>
        <v/>
      </c>
      <c r="AB105" s="27" t="str">
        <f aca="false">IF($U105&lt;&gt;"",$U105,IF(OR($T105="",$M105&lt;&gt;"Active"),"",$T105+N($R105)))</f>
        <v/>
      </c>
      <c r="AC105" s="25" t="str">
        <f aca="false">IF(OR($T105="",$J105=""),"",$T105-$J105)</f>
        <v/>
      </c>
      <c r="AD105" s="25" t="str">
        <f aca="false">IF(AND($K105="Joined",$U105&lt;&gt;"",$J105&lt;&gt;""),$U105-$J105,"")</f>
        <v/>
      </c>
      <c r="AE105" s="25" t="str">
        <f aca="false">IF($K105="","",IF(OR($K105="Rejected",$K105="Withdrawn"),IFERROR(INDEX(Lists!$B$4:$B$14,MATCH($N105,Lists!$A$4:$A$14,0)),1),IFERROR(INDEX(Lists!$B$4:$B$14,MATCH($K105,Lists!$A$4:$A$14,0)),0)))</f>
        <v/>
      </c>
    </row>
    <row r="106" customFormat="false" ht="15" hidden="false" customHeight="false" outlineLevel="0" collapsed="false">
      <c r="A106" s="25" t="str">
        <f aca="false">IF($B106="","","C-"&amp;TEXT(ROW()-1,"0000"))</f>
        <v/>
      </c>
      <c r="B106" s="21"/>
      <c r="C106" s="21"/>
      <c r="D106" s="21"/>
      <c r="E106" s="21"/>
      <c r="F106" s="25" t="str">
        <f aca="false">IF($E106="","",IFERROR(INDEX(Requisitions!$B$2:$B$101,MATCH($E106,Requisitions!$A$2:$A$101,0)),"Unknown Req"))</f>
        <v/>
      </c>
      <c r="G106" s="25" t="str">
        <f aca="false">IF($E106="","",IFERROR(INDEX(Requisitions!$D$2:$D$101,MATCH($E106,Requisitions!$A$2:$A$101,0)),""))</f>
        <v/>
      </c>
      <c r="H106" s="21"/>
      <c r="I106" s="21"/>
      <c r="J106" s="22"/>
      <c r="K106" s="21"/>
      <c r="L106" s="22"/>
      <c r="M106" s="25" t="str">
        <f aca="false">IF($K106="","",IFERROR(INDEX(Lists!$D$4:$D$14,MATCH($K106,Lists!$A$4:$A$14,0)),"Check stage"))</f>
        <v/>
      </c>
      <c r="N106" s="21"/>
      <c r="O106" s="21"/>
      <c r="P106" s="26"/>
      <c r="Q106" s="26"/>
      <c r="R106" s="21"/>
      <c r="S106" s="21"/>
      <c r="T106" s="22"/>
      <c r="U106" s="22"/>
      <c r="V106" s="24" t="str">
        <f aca="false">IF(OR(N($P106)=0,$Q106=""),"",$Q106/$P106-1)</f>
        <v/>
      </c>
      <c r="W106" s="25" t="str">
        <f aca="true">IF($J106="","",IF($M106="Active",TODAY(),IF($U106&lt;&gt;"",$U106,IF($L106&lt;&gt;"",$L106,TODAY())))-$J106)</f>
        <v/>
      </c>
      <c r="X106" s="25" t="str">
        <f aca="true">IF(OR($L106="",$M106&lt;&gt;"Active"),"",TODAY()-$L106)</f>
        <v/>
      </c>
      <c r="Y106" s="25" t="str">
        <f aca="false">IF($M106&lt;&gt;"Active","",INDEX(Lists!$C$4:$C$14,MATCH($K106,Lists!$A$4:$A$14,0)))</f>
        <v/>
      </c>
      <c r="Z106" s="25" t="str">
        <f aca="false">IF($B106="","",IF($M106&lt;&gt;"Active","Closed",IF($X106="","",IF($X106&gt;$Y106,"BREACH","On Track"))))</f>
        <v/>
      </c>
      <c r="AA106" s="25" t="str">
        <f aca="false">IF($K106="","",IFERROR(INDEX(Lists!$E$4:$E$14,MATCH($K106,Lists!$A$4:$A$14,0)),""))</f>
        <v/>
      </c>
      <c r="AB106" s="27" t="str">
        <f aca="false">IF($U106&lt;&gt;"",$U106,IF(OR($T106="",$M106&lt;&gt;"Active"),"",$T106+N($R106)))</f>
        <v/>
      </c>
      <c r="AC106" s="25" t="str">
        <f aca="false">IF(OR($T106="",$J106=""),"",$T106-$J106)</f>
        <v/>
      </c>
      <c r="AD106" s="25" t="str">
        <f aca="false">IF(AND($K106="Joined",$U106&lt;&gt;"",$J106&lt;&gt;""),$U106-$J106,"")</f>
        <v/>
      </c>
      <c r="AE106" s="25" t="str">
        <f aca="false">IF($K106="","",IF(OR($K106="Rejected",$K106="Withdrawn"),IFERROR(INDEX(Lists!$B$4:$B$14,MATCH($N106,Lists!$A$4:$A$14,0)),1),IFERROR(INDEX(Lists!$B$4:$B$14,MATCH($K106,Lists!$A$4:$A$14,0)),0)))</f>
        <v/>
      </c>
    </row>
    <row r="107" customFormat="false" ht="15" hidden="false" customHeight="false" outlineLevel="0" collapsed="false">
      <c r="A107" s="25" t="str">
        <f aca="false">IF($B107="","","C-"&amp;TEXT(ROW()-1,"0000"))</f>
        <v/>
      </c>
      <c r="B107" s="21"/>
      <c r="C107" s="21"/>
      <c r="D107" s="21"/>
      <c r="E107" s="21"/>
      <c r="F107" s="25" t="str">
        <f aca="false">IF($E107="","",IFERROR(INDEX(Requisitions!$B$2:$B$101,MATCH($E107,Requisitions!$A$2:$A$101,0)),"Unknown Req"))</f>
        <v/>
      </c>
      <c r="G107" s="25" t="str">
        <f aca="false">IF($E107="","",IFERROR(INDEX(Requisitions!$D$2:$D$101,MATCH($E107,Requisitions!$A$2:$A$101,0)),""))</f>
        <v/>
      </c>
      <c r="H107" s="21"/>
      <c r="I107" s="21"/>
      <c r="J107" s="22"/>
      <c r="K107" s="21"/>
      <c r="L107" s="22"/>
      <c r="M107" s="25" t="str">
        <f aca="false">IF($K107="","",IFERROR(INDEX(Lists!$D$4:$D$14,MATCH($K107,Lists!$A$4:$A$14,0)),"Check stage"))</f>
        <v/>
      </c>
      <c r="N107" s="21"/>
      <c r="O107" s="21"/>
      <c r="P107" s="26"/>
      <c r="Q107" s="26"/>
      <c r="R107" s="21"/>
      <c r="S107" s="21"/>
      <c r="T107" s="22"/>
      <c r="U107" s="22"/>
      <c r="V107" s="24" t="str">
        <f aca="false">IF(OR(N($P107)=0,$Q107=""),"",$Q107/$P107-1)</f>
        <v/>
      </c>
      <c r="W107" s="25" t="str">
        <f aca="true">IF($J107="","",IF($M107="Active",TODAY(),IF($U107&lt;&gt;"",$U107,IF($L107&lt;&gt;"",$L107,TODAY())))-$J107)</f>
        <v/>
      </c>
      <c r="X107" s="25" t="str">
        <f aca="true">IF(OR($L107="",$M107&lt;&gt;"Active"),"",TODAY()-$L107)</f>
        <v/>
      </c>
      <c r="Y107" s="25" t="str">
        <f aca="false">IF($M107&lt;&gt;"Active","",INDEX(Lists!$C$4:$C$14,MATCH($K107,Lists!$A$4:$A$14,0)))</f>
        <v/>
      </c>
      <c r="Z107" s="25" t="str">
        <f aca="false">IF($B107="","",IF($M107&lt;&gt;"Active","Closed",IF($X107="","",IF($X107&gt;$Y107,"BREACH","On Track"))))</f>
        <v/>
      </c>
      <c r="AA107" s="25" t="str">
        <f aca="false">IF($K107="","",IFERROR(INDEX(Lists!$E$4:$E$14,MATCH($K107,Lists!$A$4:$A$14,0)),""))</f>
        <v/>
      </c>
      <c r="AB107" s="27" t="str">
        <f aca="false">IF($U107&lt;&gt;"",$U107,IF(OR($T107="",$M107&lt;&gt;"Active"),"",$T107+N($R107)))</f>
        <v/>
      </c>
      <c r="AC107" s="25" t="str">
        <f aca="false">IF(OR($T107="",$J107=""),"",$T107-$J107)</f>
        <v/>
      </c>
      <c r="AD107" s="25" t="str">
        <f aca="false">IF(AND($K107="Joined",$U107&lt;&gt;"",$J107&lt;&gt;""),$U107-$J107,"")</f>
        <v/>
      </c>
      <c r="AE107" s="25" t="str">
        <f aca="false">IF($K107="","",IF(OR($K107="Rejected",$K107="Withdrawn"),IFERROR(INDEX(Lists!$B$4:$B$14,MATCH($N107,Lists!$A$4:$A$14,0)),1),IFERROR(INDEX(Lists!$B$4:$B$14,MATCH($K107,Lists!$A$4:$A$14,0)),0)))</f>
        <v/>
      </c>
    </row>
    <row r="108" customFormat="false" ht="15" hidden="false" customHeight="false" outlineLevel="0" collapsed="false">
      <c r="A108" s="25" t="str">
        <f aca="false">IF($B108="","","C-"&amp;TEXT(ROW()-1,"0000"))</f>
        <v/>
      </c>
      <c r="B108" s="21"/>
      <c r="C108" s="21"/>
      <c r="D108" s="21"/>
      <c r="E108" s="21"/>
      <c r="F108" s="25" t="str">
        <f aca="false">IF($E108="","",IFERROR(INDEX(Requisitions!$B$2:$B$101,MATCH($E108,Requisitions!$A$2:$A$101,0)),"Unknown Req"))</f>
        <v/>
      </c>
      <c r="G108" s="25" t="str">
        <f aca="false">IF($E108="","",IFERROR(INDEX(Requisitions!$D$2:$D$101,MATCH($E108,Requisitions!$A$2:$A$101,0)),""))</f>
        <v/>
      </c>
      <c r="H108" s="21"/>
      <c r="I108" s="21"/>
      <c r="J108" s="22"/>
      <c r="K108" s="21"/>
      <c r="L108" s="22"/>
      <c r="M108" s="25" t="str">
        <f aca="false">IF($K108="","",IFERROR(INDEX(Lists!$D$4:$D$14,MATCH($K108,Lists!$A$4:$A$14,0)),"Check stage"))</f>
        <v/>
      </c>
      <c r="N108" s="21"/>
      <c r="O108" s="21"/>
      <c r="P108" s="26"/>
      <c r="Q108" s="26"/>
      <c r="R108" s="21"/>
      <c r="S108" s="21"/>
      <c r="T108" s="22"/>
      <c r="U108" s="22"/>
      <c r="V108" s="24" t="str">
        <f aca="false">IF(OR(N($P108)=0,$Q108=""),"",$Q108/$P108-1)</f>
        <v/>
      </c>
      <c r="W108" s="25" t="str">
        <f aca="true">IF($J108="","",IF($M108="Active",TODAY(),IF($U108&lt;&gt;"",$U108,IF($L108&lt;&gt;"",$L108,TODAY())))-$J108)</f>
        <v/>
      </c>
      <c r="X108" s="25" t="str">
        <f aca="true">IF(OR($L108="",$M108&lt;&gt;"Active"),"",TODAY()-$L108)</f>
        <v/>
      </c>
      <c r="Y108" s="25" t="str">
        <f aca="false">IF($M108&lt;&gt;"Active","",INDEX(Lists!$C$4:$C$14,MATCH($K108,Lists!$A$4:$A$14,0)))</f>
        <v/>
      </c>
      <c r="Z108" s="25" t="str">
        <f aca="false">IF($B108="","",IF($M108&lt;&gt;"Active","Closed",IF($X108="","",IF($X108&gt;$Y108,"BREACH","On Track"))))</f>
        <v/>
      </c>
      <c r="AA108" s="25" t="str">
        <f aca="false">IF($K108="","",IFERROR(INDEX(Lists!$E$4:$E$14,MATCH($K108,Lists!$A$4:$A$14,0)),""))</f>
        <v/>
      </c>
      <c r="AB108" s="27" t="str">
        <f aca="false">IF($U108&lt;&gt;"",$U108,IF(OR($T108="",$M108&lt;&gt;"Active"),"",$T108+N($R108)))</f>
        <v/>
      </c>
      <c r="AC108" s="25" t="str">
        <f aca="false">IF(OR($T108="",$J108=""),"",$T108-$J108)</f>
        <v/>
      </c>
      <c r="AD108" s="25" t="str">
        <f aca="false">IF(AND($K108="Joined",$U108&lt;&gt;"",$J108&lt;&gt;""),$U108-$J108,"")</f>
        <v/>
      </c>
      <c r="AE108" s="25" t="str">
        <f aca="false">IF($K108="","",IF(OR($K108="Rejected",$K108="Withdrawn"),IFERROR(INDEX(Lists!$B$4:$B$14,MATCH($N108,Lists!$A$4:$A$14,0)),1),IFERROR(INDEX(Lists!$B$4:$B$14,MATCH($K108,Lists!$A$4:$A$14,0)),0)))</f>
        <v/>
      </c>
    </row>
    <row r="109" customFormat="false" ht="15" hidden="false" customHeight="false" outlineLevel="0" collapsed="false">
      <c r="A109" s="25" t="str">
        <f aca="false">IF($B109="","","C-"&amp;TEXT(ROW()-1,"0000"))</f>
        <v/>
      </c>
      <c r="B109" s="21"/>
      <c r="C109" s="21"/>
      <c r="D109" s="21"/>
      <c r="E109" s="21"/>
      <c r="F109" s="25" t="str">
        <f aca="false">IF($E109="","",IFERROR(INDEX(Requisitions!$B$2:$B$101,MATCH($E109,Requisitions!$A$2:$A$101,0)),"Unknown Req"))</f>
        <v/>
      </c>
      <c r="G109" s="25" t="str">
        <f aca="false">IF($E109="","",IFERROR(INDEX(Requisitions!$D$2:$D$101,MATCH($E109,Requisitions!$A$2:$A$101,0)),""))</f>
        <v/>
      </c>
      <c r="H109" s="21"/>
      <c r="I109" s="21"/>
      <c r="J109" s="22"/>
      <c r="K109" s="21"/>
      <c r="L109" s="22"/>
      <c r="M109" s="25" t="str">
        <f aca="false">IF($K109="","",IFERROR(INDEX(Lists!$D$4:$D$14,MATCH($K109,Lists!$A$4:$A$14,0)),"Check stage"))</f>
        <v/>
      </c>
      <c r="N109" s="21"/>
      <c r="O109" s="21"/>
      <c r="P109" s="26"/>
      <c r="Q109" s="26"/>
      <c r="R109" s="21"/>
      <c r="S109" s="21"/>
      <c r="T109" s="22"/>
      <c r="U109" s="22"/>
      <c r="V109" s="24" t="str">
        <f aca="false">IF(OR(N($P109)=0,$Q109=""),"",$Q109/$P109-1)</f>
        <v/>
      </c>
      <c r="W109" s="25" t="str">
        <f aca="true">IF($J109="","",IF($M109="Active",TODAY(),IF($U109&lt;&gt;"",$U109,IF($L109&lt;&gt;"",$L109,TODAY())))-$J109)</f>
        <v/>
      </c>
      <c r="X109" s="25" t="str">
        <f aca="true">IF(OR($L109="",$M109&lt;&gt;"Active"),"",TODAY()-$L109)</f>
        <v/>
      </c>
      <c r="Y109" s="25" t="str">
        <f aca="false">IF($M109&lt;&gt;"Active","",INDEX(Lists!$C$4:$C$14,MATCH($K109,Lists!$A$4:$A$14,0)))</f>
        <v/>
      </c>
      <c r="Z109" s="25" t="str">
        <f aca="false">IF($B109="","",IF($M109&lt;&gt;"Active","Closed",IF($X109="","",IF($X109&gt;$Y109,"BREACH","On Track"))))</f>
        <v/>
      </c>
      <c r="AA109" s="25" t="str">
        <f aca="false">IF($K109="","",IFERROR(INDEX(Lists!$E$4:$E$14,MATCH($K109,Lists!$A$4:$A$14,0)),""))</f>
        <v/>
      </c>
      <c r="AB109" s="27" t="str">
        <f aca="false">IF($U109&lt;&gt;"",$U109,IF(OR($T109="",$M109&lt;&gt;"Active"),"",$T109+N($R109)))</f>
        <v/>
      </c>
      <c r="AC109" s="25" t="str">
        <f aca="false">IF(OR($T109="",$J109=""),"",$T109-$J109)</f>
        <v/>
      </c>
      <c r="AD109" s="25" t="str">
        <f aca="false">IF(AND($K109="Joined",$U109&lt;&gt;"",$J109&lt;&gt;""),$U109-$J109,"")</f>
        <v/>
      </c>
      <c r="AE109" s="25" t="str">
        <f aca="false">IF($K109="","",IF(OR($K109="Rejected",$K109="Withdrawn"),IFERROR(INDEX(Lists!$B$4:$B$14,MATCH($N109,Lists!$A$4:$A$14,0)),1),IFERROR(INDEX(Lists!$B$4:$B$14,MATCH($K109,Lists!$A$4:$A$14,0)),0)))</f>
        <v/>
      </c>
    </row>
    <row r="110" customFormat="false" ht="15" hidden="false" customHeight="false" outlineLevel="0" collapsed="false">
      <c r="A110" s="25" t="str">
        <f aca="false">IF($B110="","","C-"&amp;TEXT(ROW()-1,"0000"))</f>
        <v/>
      </c>
      <c r="B110" s="21"/>
      <c r="C110" s="21"/>
      <c r="D110" s="21"/>
      <c r="E110" s="21"/>
      <c r="F110" s="25" t="str">
        <f aca="false">IF($E110="","",IFERROR(INDEX(Requisitions!$B$2:$B$101,MATCH($E110,Requisitions!$A$2:$A$101,0)),"Unknown Req"))</f>
        <v/>
      </c>
      <c r="G110" s="25" t="str">
        <f aca="false">IF($E110="","",IFERROR(INDEX(Requisitions!$D$2:$D$101,MATCH($E110,Requisitions!$A$2:$A$101,0)),""))</f>
        <v/>
      </c>
      <c r="H110" s="21"/>
      <c r="I110" s="21"/>
      <c r="J110" s="22"/>
      <c r="K110" s="21"/>
      <c r="L110" s="22"/>
      <c r="M110" s="25" t="str">
        <f aca="false">IF($K110="","",IFERROR(INDEX(Lists!$D$4:$D$14,MATCH($K110,Lists!$A$4:$A$14,0)),"Check stage"))</f>
        <v/>
      </c>
      <c r="N110" s="21"/>
      <c r="O110" s="21"/>
      <c r="P110" s="26"/>
      <c r="Q110" s="26"/>
      <c r="R110" s="21"/>
      <c r="S110" s="21"/>
      <c r="T110" s="22"/>
      <c r="U110" s="22"/>
      <c r="V110" s="24" t="str">
        <f aca="false">IF(OR(N($P110)=0,$Q110=""),"",$Q110/$P110-1)</f>
        <v/>
      </c>
      <c r="W110" s="25" t="str">
        <f aca="true">IF($J110="","",IF($M110="Active",TODAY(),IF($U110&lt;&gt;"",$U110,IF($L110&lt;&gt;"",$L110,TODAY())))-$J110)</f>
        <v/>
      </c>
      <c r="X110" s="25" t="str">
        <f aca="true">IF(OR($L110="",$M110&lt;&gt;"Active"),"",TODAY()-$L110)</f>
        <v/>
      </c>
      <c r="Y110" s="25" t="str">
        <f aca="false">IF($M110&lt;&gt;"Active","",INDEX(Lists!$C$4:$C$14,MATCH($K110,Lists!$A$4:$A$14,0)))</f>
        <v/>
      </c>
      <c r="Z110" s="25" t="str">
        <f aca="false">IF($B110="","",IF($M110&lt;&gt;"Active","Closed",IF($X110="","",IF($X110&gt;$Y110,"BREACH","On Track"))))</f>
        <v/>
      </c>
      <c r="AA110" s="25" t="str">
        <f aca="false">IF($K110="","",IFERROR(INDEX(Lists!$E$4:$E$14,MATCH($K110,Lists!$A$4:$A$14,0)),""))</f>
        <v/>
      </c>
      <c r="AB110" s="27" t="str">
        <f aca="false">IF($U110&lt;&gt;"",$U110,IF(OR($T110="",$M110&lt;&gt;"Active"),"",$T110+N($R110)))</f>
        <v/>
      </c>
      <c r="AC110" s="25" t="str">
        <f aca="false">IF(OR($T110="",$J110=""),"",$T110-$J110)</f>
        <v/>
      </c>
      <c r="AD110" s="25" t="str">
        <f aca="false">IF(AND($K110="Joined",$U110&lt;&gt;"",$J110&lt;&gt;""),$U110-$J110,"")</f>
        <v/>
      </c>
      <c r="AE110" s="25" t="str">
        <f aca="false">IF($K110="","",IF(OR($K110="Rejected",$K110="Withdrawn"),IFERROR(INDEX(Lists!$B$4:$B$14,MATCH($N110,Lists!$A$4:$A$14,0)),1),IFERROR(INDEX(Lists!$B$4:$B$14,MATCH($K110,Lists!$A$4:$A$14,0)),0)))</f>
        <v/>
      </c>
    </row>
    <row r="111" customFormat="false" ht="15" hidden="false" customHeight="false" outlineLevel="0" collapsed="false">
      <c r="A111" s="25" t="str">
        <f aca="false">IF($B111="","","C-"&amp;TEXT(ROW()-1,"0000"))</f>
        <v/>
      </c>
      <c r="B111" s="21"/>
      <c r="C111" s="21"/>
      <c r="D111" s="21"/>
      <c r="E111" s="21"/>
      <c r="F111" s="25" t="str">
        <f aca="false">IF($E111="","",IFERROR(INDEX(Requisitions!$B$2:$B$101,MATCH($E111,Requisitions!$A$2:$A$101,0)),"Unknown Req"))</f>
        <v/>
      </c>
      <c r="G111" s="25" t="str">
        <f aca="false">IF($E111="","",IFERROR(INDEX(Requisitions!$D$2:$D$101,MATCH($E111,Requisitions!$A$2:$A$101,0)),""))</f>
        <v/>
      </c>
      <c r="H111" s="21"/>
      <c r="I111" s="21"/>
      <c r="J111" s="22"/>
      <c r="K111" s="21"/>
      <c r="L111" s="22"/>
      <c r="M111" s="25" t="str">
        <f aca="false">IF($K111="","",IFERROR(INDEX(Lists!$D$4:$D$14,MATCH($K111,Lists!$A$4:$A$14,0)),"Check stage"))</f>
        <v/>
      </c>
      <c r="N111" s="21"/>
      <c r="O111" s="21"/>
      <c r="P111" s="26"/>
      <c r="Q111" s="26"/>
      <c r="R111" s="21"/>
      <c r="S111" s="21"/>
      <c r="T111" s="22"/>
      <c r="U111" s="22"/>
      <c r="V111" s="24" t="str">
        <f aca="false">IF(OR(N($P111)=0,$Q111=""),"",$Q111/$P111-1)</f>
        <v/>
      </c>
      <c r="W111" s="25" t="str">
        <f aca="true">IF($J111="","",IF($M111="Active",TODAY(),IF($U111&lt;&gt;"",$U111,IF($L111&lt;&gt;"",$L111,TODAY())))-$J111)</f>
        <v/>
      </c>
      <c r="X111" s="25" t="str">
        <f aca="true">IF(OR($L111="",$M111&lt;&gt;"Active"),"",TODAY()-$L111)</f>
        <v/>
      </c>
      <c r="Y111" s="25" t="str">
        <f aca="false">IF($M111&lt;&gt;"Active","",INDEX(Lists!$C$4:$C$14,MATCH($K111,Lists!$A$4:$A$14,0)))</f>
        <v/>
      </c>
      <c r="Z111" s="25" t="str">
        <f aca="false">IF($B111="","",IF($M111&lt;&gt;"Active","Closed",IF($X111="","",IF($X111&gt;$Y111,"BREACH","On Track"))))</f>
        <v/>
      </c>
      <c r="AA111" s="25" t="str">
        <f aca="false">IF($K111="","",IFERROR(INDEX(Lists!$E$4:$E$14,MATCH($K111,Lists!$A$4:$A$14,0)),""))</f>
        <v/>
      </c>
      <c r="AB111" s="27" t="str">
        <f aca="false">IF($U111&lt;&gt;"",$U111,IF(OR($T111="",$M111&lt;&gt;"Active"),"",$T111+N($R111)))</f>
        <v/>
      </c>
      <c r="AC111" s="25" t="str">
        <f aca="false">IF(OR($T111="",$J111=""),"",$T111-$J111)</f>
        <v/>
      </c>
      <c r="AD111" s="25" t="str">
        <f aca="false">IF(AND($K111="Joined",$U111&lt;&gt;"",$J111&lt;&gt;""),$U111-$J111,"")</f>
        <v/>
      </c>
      <c r="AE111" s="25" t="str">
        <f aca="false">IF($K111="","",IF(OR($K111="Rejected",$K111="Withdrawn"),IFERROR(INDEX(Lists!$B$4:$B$14,MATCH($N111,Lists!$A$4:$A$14,0)),1),IFERROR(INDEX(Lists!$B$4:$B$14,MATCH($K111,Lists!$A$4:$A$14,0)),0)))</f>
        <v/>
      </c>
    </row>
    <row r="112" customFormat="false" ht="15" hidden="false" customHeight="false" outlineLevel="0" collapsed="false">
      <c r="A112" s="25" t="str">
        <f aca="false">IF($B112="","","C-"&amp;TEXT(ROW()-1,"0000"))</f>
        <v/>
      </c>
      <c r="B112" s="21"/>
      <c r="C112" s="21"/>
      <c r="D112" s="21"/>
      <c r="E112" s="21"/>
      <c r="F112" s="25" t="str">
        <f aca="false">IF($E112="","",IFERROR(INDEX(Requisitions!$B$2:$B$101,MATCH($E112,Requisitions!$A$2:$A$101,0)),"Unknown Req"))</f>
        <v/>
      </c>
      <c r="G112" s="25" t="str">
        <f aca="false">IF($E112="","",IFERROR(INDEX(Requisitions!$D$2:$D$101,MATCH($E112,Requisitions!$A$2:$A$101,0)),""))</f>
        <v/>
      </c>
      <c r="H112" s="21"/>
      <c r="I112" s="21"/>
      <c r="J112" s="22"/>
      <c r="K112" s="21"/>
      <c r="L112" s="22"/>
      <c r="M112" s="25" t="str">
        <f aca="false">IF($K112="","",IFERROR(INDEX(Lists!$D$4:$D$14,MATCH($K112,Lists!$A$4:$A$14,0)),"Check stage"))</f>
        <v/>
      </c>
      <c r="N112" s="21"/>
      <c r="O112" s="21"/>
      <c r="P112" s="26"/>
      <c r="Q112" s="26"/>
      <c r="R112" s="21"/>
      <c r="S112" s="21"/>
      <c r="T112" s="22"/>
      <c r="U112" s="22"/>
      <c r="V112" s="24" t="str">
        <f aca="false">IF(OR(N($P112)=0,$Q112=""),"",$Q112/$P112-1)</f>
        <v/>
      </c>
      <c r="W112" s="25" t="str">
        <f aca="true">IF($J112="","",IF($M112="Active",TODAY(),IF($U112&lt;&gt;"",$U112,IF($L112&lt;&gt;"",$L112,TODAY())))-$J112)</f>
        <v/>
      </c>
      <c r="X112" s="25" t="str">
        <f aca="true">IF(OR($L112="",$M112&lt;&gt;"Active"),"",TODAY()-$L112)</f>
        <v/>
      </c>
      <c r="Y112" s="25" t="str">
        <f aca="false">IF($M112&lt;&gt;"Active","",INDEX(Lists!$C$4:$C$14,MATCH($K112,Lists!$A$4:$A$14,0)))</f>
        <v/>
      </c>
      <c r="Z112" s="25" t="str">
        <f aca="false">IF($B112="","",IF($M112&lt;&gt;"Active","Closed",IF($X112="","",IF($X112&gt;$Y112,"BREACH","On Track"))))</f>
        <v/>
      </c>
      <c r="AA112" s="25" t="str">
        <f aca="false">IF($K112="","",IFERROR(INDEX(Lists!$E$4:$E$14,MATCH($K112,Lists!$A$4:$A$14,0)),""))</f>
        <v/>
      </c>
      <c r="AB112" s="27" t="str">
        <f aca="false">IF($U112&lt;&gt;"",$U112,IF(OR($T112="",$M112&lt;&gt;"Active"),"",$T112+N($R112)))</f>
        <v/>
      </c>
      <c r="AC112" s="25" t="str">
        <f aca="false">IF(OR($T112="",$J112=""),"",$T112-$J112)</f>
        <v/>
      </c>
      <c r="AD112" s="25" t="str">
        <f aca="false">IF(AND($K112="Joined",$U112&lt;&gt;"",$J112&lt;&gt;""),$U112-$J112,"")</f>
        <v/>
      </c>
      <c r="AE112" s="25" t="str">
        <f aca="false">IF($K112="","",IF(OR($K112="Rejected",$K112="Withdrawn"),IFERROR(INDEX(Lists!$B$4:$B$14,MATCH($N112,Lists!$A$4:$A$14,0)),1),IFERROR(INDEX(Lists!$B$4:$B$14,MATCH($K112,Lists!$A$4:$A$14,0)),0)))</f>
        <v/>
      </c>
    </row>
    <row r="113" customFormat="false" ht="15" hidden="false" customHeight="false" outlineLevel="0" collapsed="false">
      <c r="A113" s="25" t="str">
        <f aca="false">IF($B113="","","C-"&amp;TEXT(ROW()-1,"0000"))</f>
        <v/>
      </c>
      <c r="B113" s="21"/>
      <c r="C113" s="21"/>
      <c r="D113" s="21"/>
      <c r="E113" s="21"/>
      <c r="F113" s="25" t="str">
        <f aca="false">IF($E113="","",IFERROR(INDEX(Requisitions!$B$2:$B$101,MATCH($E113,Requisitions!$A$2:$A$101,0)),"Unknown Req"))</f>
        <v/>
      </c>
      <c r="G113" s="25" t="str">
        <f aca="false">IF($E113="","",IFERROR(INDEX(Requisitions!$D$2:$D$101,MATCH($E113,Requisitions!$A$2:$A$101,0)),""))</f>
        <v/>
      </c>
      <c r="H113" s="21"/>
      <c r="I113" s="21"/>
      <c r="J113" s="22"/>
      <c r="K113" s="21"/>
      <c r="L113" s="22"/>
      <c r="M113" s="25" t="str">
        <f aca="false">IF($K113="","",IFERROR(INDEX(Lists!$D$4:$D$14,MATCH($K113,Lists!$A$4:$A$14,0)),"Check stage"))</f>
        <v/>
      </c>
      <c r="N113" s="21"/>
      <c r="O113" s="21"/>
      <c r="P113" s="26"/>
      <c r="Q113" s="26"/>
      <c r="R113" s="21"/>
      <c r="S113" s="21"/>
      <c r="T113" s="22"/>
      <c r="U113" s="22"/>
      <c r="V113" s="24" t="str">
        <f aca="false">IF(OR(N($P113)=0,$Q113=""),"",$Q113/$P113-1)</f>
        <v/>
      </c>
      <c r="W113" s="25" t="str">
        <f aca="true">IF($J113="","",IF($M113="Active",TODAY(),IF($U113&lt;&gt;"",$U113,IF($L113&lt;&gt;"",$L113,TODAY())))-$J113)</f>
        <v/>
      </c>
      <c r="X113" s="25" t="str">
        <f aca="true">IF(OR($L113="",$M113&lt;&gt;"Active"),"",TODAY()-$L113)</f>
        <v/>
      </c>
      <c r="Y113" s="25" t="str">
        <f aca="false">IF($M113&lt;&gt;"Active","",INDEX(Lists!$C$4:$C$14,MATCH($K113,Lists!$A$4:$A$14,0)))</f>
        <v/>
      </c>
      <c r="Z113" s="25" t="str">
        <f aca="false">IF($B113="","",IF($M113&lt;&gt;"Active","Closed",IF($X113="","",IF($X113&gt;$Y113,"BREACH","On Track"))))</f>
        <v/>
      </c>
      <c r="AA113" s="25" t="str">
        <f aca="false">IF($K113="","",IFERROR(INDEX(Lists!$E$4:$E$14,MATCH($K113,Lists!$A$4:$A$14,0)),""))</f>
        <v/>
      </c>
      <c r="AB113" s="27" t="str">
        <f aca="false">IF($U113&lt;&gt;"",$U113,IF(OR($T113="",$M113&lt;&gt;"Active"),"",$T113+N($R113)))</f>
        <v/>
      </c>
      <c r="AC113" s="25" t="str">
        <f aca="false">IF(OR($T113="",$J113=""),"",$T113-$J113)</f>
        <v/>
      </c>
      <c r="AD113" s="25" t="str">
        <f aca="false">IF(AND($K113="Joined",$U113&lt;&gt;"",$J113&lt;&gt;""),$U113-$J113,"")</f>
        <v/>
      </c>
      <c r="AE113" s="25" t="str">
        <f aca="false">IF($K113="","",IF(OR($K113="Rejected",$K113="Withdrawn"),IFERROR(INDEX(Lists!$B$4:$B$14,MATCH($N113,Lists!$A$4:$A$14,0)),1),IFERROR(INDEX(Lists!$B$4:$B$14,MATCH($K113,Lists!$A$4:$A$14,0)),0)))</f>
        <v/>
      </c>
    </row>
    <row r="114" customFormat="false" ht="15" hidden="false" customHeight="false" outlineLevel="0" collapsed="false">
      <c r="A114" s="25" t="str">
        <f aca="false">IF($B114="","","C-"&amp;TEXT(ROW()-1,"0000"))</f>
        <v/>
      </c>
      <c r="B114" s="21"/>
      <c r="C114" s="21"/>
      <c r="D114" s="21"/>
      <c r="E114" s="21"/>
      <c r="F114" s="25" t="str">
        <f aca="false">IF($E114="","",IFERROR(INDEX(Requisitions!$B$2:$B$101,MATCH($E114,Requisitions!$A$2:$A$101,0)),"Unknown Req"))</f>
        <v/>
      </c>
      <c r="G114" s="25" t="str">
        <f aca="false">IF($E114="","",IFERROR(INDEX(Requisitions!$D$2:$D$101,MATCH($E114,Requisitions!$A$2:$A$101,0)),""))</f>
        <v/>
      </c>
      <c r="H114" s="21"/>
      <c r="I114" s="21"/>
      <c r="J114" s="22"/>
      <c r="K114" s="21"/>
      <c r="L114" s="22"/>
      <c r="M114" s="25" t="str">
        <f aca="false">IF($K114="","",IFERROR(INDEX(Lists!$D$4:$D$14,MATCH($K114,Lists!$A$4:$A$14,0)),"Check stage"))</f>
        <v/>
      </c>
      <c r="N114" s="21"/>
      <c r="O114" s="21"/>
      <c r="P114" s="26"/>
      <c r="Q114" s="26"/>
      <c r="R114" s="21"/>
      <c r="S114" s="21"/>
      <c r="T114" s="22"/>
      <c r="U114" s="22"/>
      <c r="V114" s="24" t="str">
        <f aca="false">IF(OR(N($P114)=0,$Q114=""),"",$Q114/$P114-1)</f>
        <v/>
      </c>
      <c r="W114" s="25" t="str">
        <f aca="true">IF($J114="","",IF($M114="Active",TODAY(),IF($U114&lt;&gt;"",$U114,IF($L114&lt;&gt;"",$L114,TODAY())))-$J114)</f>
        <v/>
      </c>
      <c r="X114" s="25" t="str">
        <f aca="true">IF(OR($L114="",$M114&lt;&gt;"Active"),"",TODAY()-$L114)</f>
        <v/>
      </c>
      <c r="Y114" s="25" t="str">
        <f aca="false">IF($M114&lt;&gt;"Active","",INDEX(Lists!$C$4:$C$14,MATCH($K114,Lists!$A$4:$A$14,0)))</f>
        <v/>
      </c>
      <c r="Z114" s="25" t="str">
        <f aca="false">IF($B114="","",IF($M114&lt;&gt;"Active","Closed",IF($X114="","",IF($X114&gt;$Y114,"BREACH","On Track"))))</f>
        <v/>
      </c>
      <c r="AA114" s="25" t="str">
        <f aca="false">IF($K114="","",IFERROR(INDEX(Lists!$E$4:$E$14,MATCH($K114,Lists!$A$4:$A$14,0)),""))</f>
        <v/>
      </c>
      <c r="AB114" s="27" t="str">
        <f aca="false">IF($U114&lt;&gt;"",$U114,IF(OR($T114="",$M114&lt;&gt;"Active"),"",$T114+N($R114)))</f>
        <v/>
      </c>
      <c r="AC114" s="25" t="str">
        <f aca="false">IF(OR($T114="",$J114=""),"",$T114-$J114)</f>
        <v/>
      </c>
      <c r="AD114" s="25" t="str">
        <f aca="false">IF(AND($K114="Joined",$U114&lt;&gt;"",$J114&lt;&gt;""),$U114-$J114,"")</f>
        <v/>
      </c>
      <c r="AE114" s="25" t="str">
        <f aca="false">IF($K114="","",IF(OR($K114="Rejected",$K114="Withdrawn"),IFERROR(INDEX(Lists!$B$4:$B$14,MATCH($N114,Lists!$A$4:$A$14,0)),1),IFERROR(INDEX(Lists!$B$4:$B$14,MATCH($K114,Lists!$A$4:$A$14,0)),0)))</f>
        <v/>
      </c>
    </row>
    <row r="115" customFormat="false" ht="15" hidden="false" customHeight="false" outlineLevel="0" collapsed="false">
      <c r="A115" s="25" t="str">
        <f aca="false">IF($B115="","","C-"&amp;TEXT(ROW()-1,"0000"))</f>
        <v/>
      </c>
      <c r="B115" s="21"/>
      <c r="C115" s="21"/>
      <c r="D115" s="21"/>
      <c r="E115" s="21"/>
      <c r="F115" s="25" t="str">
        <f aca="false">IF($E115="","",IFERROR(INDEX(Requisitions!$B$2:$B$101,MATCH($E115,Requisitions!$A$2:$A$101,0)),"Unknown Req"))</f>
        <v/>
      </c>
      <c r="G115" s="25" t="str">
        <f aca="false">IF($E115="","",IFERROR(INDEX(Requisitions!$D$2:$D$101,MATCH($E115,Requisitions!$A$2:$A$101,0)),""))</f>
        <v/>
      </c>
      <c r="H115" s="21"/>
      <c r="I115" s="21"/>
      <c r="J115" s="22"/>
      <c r="K115" s="21"/>
      <c r="L115" s="22"/>
      <c r="M115" s="25" t="str">
        <f aca="false">IF($K115="","",IFERROR(INDEX(Lists!$D$4:$D$14,MATCH($K115,Lists!$A$4:$A$14,0)),"Check stage"))</f>
        <v/>
      </c>
      <c r="N115" s="21"/>
      <c r="O115" s="21"/>
      <c r="P115" s="26"/>
      <c r="Q115" s="26"/>
      <c r="R115" s="21"/>
      <c r="S115" s="21"/>
      <c r="T115" s="22"/>
      <c r="U115" s="22"/>
      <c r="V115" s="24" t="str">
        <f aca="false">IF(OR(N($P115)=0,$Q115=""),"",$Q115/$P115-1)</f>
        <v/>
      </c>
      <c r="W115" s="25" t="str">
        <f aca="true">IF($J115="","",IF($M115="Active",TODAY(),IF($U115&lt;&gt;"",$U115,IF($L115&lt;&gt;"",$L115,TODAY())))-$J115)</f>
        <v/>
      </c>
      <c r="X115" s="25" t="str">
        <f aca="true">IF(OR($L115="",$M115&lt;&gt;"Active"),"",TODAY()-$L115)</f>
        <v/>
      </c>
      <c r="Y115" s="25" t="str">
        <f aca="false">IF($M115&lt;&gt;"Active","",INDEX(Lists!$C$4:$C$14,MATCH($K115,Lists!$A$4:$A$14,0)))</f>
        <v/>
      </c>
      <c r="Z115" s="25" t="str">
        <f aca="false">IF($B115="","",IF($M115&lt;&gt;"Active","Closed",IF($X115="","",IF($X115&gt;$Y115,"BREACH","On Track"))))</f>
        <v/>
      </c>
      <c r="AA115" s="25" t="str">
        <f aca="false">IF($K115="","",IFERROR(INDEX(Lists!$E$4:$E$14,MATCH($K115,Lists!$A$4:$A$14,0)),""))</f>
        <v/>
      </c>
      <c r="AB115" s="27" t="str">
        <f aca="false">IF($U115&lt;&gt;"",$U115,IF(OR($T115="",$M115&lt;&gt;"Active"),"",$T115+N($R115)))</f>
        <v/>
      </c>
      <c r="AC115" s="25" t="str">
        <f aca="false">IF(OR($T115="",$J115=""),"",$T115-$J115)</f>
        <v/>
      </c>
      <c r="AD115" s="25" t="str">
        <f aca="false">IF(AND($K115="Joined",$U115&lt;&gt;"",$J115&lt;&gt;""),$U115-$J115,"")</f>
        <v/>
      </c>
      <c r="AE115" s="25" t="str">
        <f aca="false">IF($K115="","",IF(OR($K115="Rejected",$K115="Withdrawn"),IFERROR(INDEX(Lists!$B$4:$B$14,MATCH($N115,Lists!$A$4:$A$14,0)),1),IFERROR(INDEX(Lists!$B$4:$B$14,MATCH($K115,Lists!$A$4:$A$14,0)),0)))</f>
        <v/>
      </c>
    </row>
    <row r="116" customFormat="false" ht="15" hidden="false" customHeight="false" outlineLevel="0" collapsed="false">
      <c r="A116" s="25" t="str">
        <f aca="false">IF($B116="","","C-"&amp;TEXT(ROW()-1,"0000"))</f>
        <v/>
      </c>
      <c r="B116" s="21"/>
      <c r="C116" s="21"/>
      <c r="D116" s="21"/>
      <c r="E116" s="21"/>
      <c r="F116" s="25" t="str">
        <f aca="false">IF($E116="","",IFERROR(INDEX(Requisitions!$B$2:$B$101,MATCH($E116,Requisitions!$A$2:$A$101,0)),"Unknown Req"))</f>
        <v/>
      </c>
      <c r="G116" s="25" t="str">
        <f aca="false">IF($E116="","",IFERROR(INDEX(Requisitions!$D$2:$D$101,MATCH($E116,Requisitions!$A$2:$A$101,0)),""))</f>
        <v/>
      </c>
      <c r="H116" s="21"/>
      <c r="I116" s="21"/>
      <c r="J116" s="22"/>
      <c r="K116" s="21"/>
      <c r="L116" s="22"/>
      <c r="M116" s="25" t="str">
        <f aca="false">IF($K116="","",IFERROR(INDEX(Lists!$D$4:$D$14,MATCH($K116,Lists!$A$4:$A$14,0)),"Check stage"))</f>
        <v/>
      </c>
      <c r="N116" s="21"/>
      <c r="O116" s="21"/>
      <c r="P116" s="26"/>
      <c r="Q116" s="26"/>
      <c r="R116" s="21"/>
      <c r="S116" s="21"/>
      <c r="T116" s="22"/>
      <c r="U116" s="22"/>
      <c r="V116" s="24" t="str">
        <f aca="false">IF(OR(N($P116)=0,$Q116=""),"",$Q116/$P116-1)</f>
        <v/>
      </c>
      <c r="W116" s="25" t="str">
        <f aca="true">IF($J116="","",IF($M116="Active",TODAY(),IF($U116&lt;&gt;"",$U116,IF($L116&lt;&gt;"",$L116,TODAY())))-$J116)</f>
        <v/>
      </c>
      <c r="X116" s="25" t="str">
        <f aca="true">IF(OR($L116="",$M116&lt;&gt;"Active"),"",TODAY()-$L116)</f>
        <v/>
      </c>
      <c r="Y116" s="25" t="str">
        <f aca="false">IF($M116&lt;&gt;"Active","",INDEX(Lists!$C$4:$C$14,MATCH($K116,Lists!$A$4:$A$14,0)))</f>
        <v/>
      </c>
      <c r="Z116" s="25" t="str">
        <f aca="false">IF($B116="","",IF($M116&lt;&gt;"Active","Closed",IF($X116="","",IF($X116&gt;$Y116,"BREACH","On Track"))))</f>
        <v/>
      </c>
      <c r="AA116" s="25" t="str">
        <f aca="false">IF($K116="","",IFERROR(INDEX(Lists!$E$4:$E$14,MATCH($K116,Lists!$A$4:$A$14,0)),""))</f>
        <v/>
      </c>
      <c r="AB116" s="27" t="str">
        <f aca="false">IF($U116&lt;&gt;"",$U116,IF(OR($T116="",$M116&lt;&gt;"Active"),"",$T116+N($R116)))</f>
        <v/>
      </c>
      <c r="AC116" s="25" t="str">
        <f aca="false">IF(OR($T116="",$J116=""),"",$T116-$J116)</f>
        <v/>
      </c>
      <c r="AD116" s="25" t="str">
        <f aca="false">IF(AND($K116="Joined",$U116&lt;&gt;"",$J116&lt;&gt;""),$U116-$J116,"")</f>
        <v/>
      </c>
      <c r="AE116" s="25" t="str">
        <f aca="false">IF($K116="","",IF(OR($K116="Rejected",$K116="Withdrawn"),IFERROR(INDEX(Lists!$B$4:$B$14,MATCH($N116,Lists!$A$4:$A$14,0)),1),IFERROR(INDEX(Lists!$B$4:$B$14,MATCH($K116,Lists!$A$4:$A$14,0)),0)))</f>
        <v/>
      </c>
    </row>
    <row r="117" customFormat="false" ht="15" hidden="false" customHeight="false" outlineLevel="0" collapsed="false">
      <c r="A117" s="25" t="str">
        <f aca="false">IF($B117="","","C-"&amp;TEXT(ROW()-1,"0000"))</f>
        <v/>
      </c>
      <c r="B117" s="21"/>
      <c r="C117" s="21"/>
      <c r="D117" s="21"/>
      <c r="E117" s="21"/>
      <c r="F117" s="25" t="str">
        <f aca="false">IF($E117="","",IFERROR(INDEX(Requisitions!$B$2:$B$101,MATCH($E117,Requisitions!$A$2:$A$101,0)),"Unknown Req"))</f>
        <v/>
      </c>
      <c r="G117" s="25" t="str">
        <f aca="false">IF($E117="","",IFERROR(INDEX(Requisitions!$D$2:$D$101,MATCH($E117,Requisitions!$A$2:$A$101,0)),""))</f>
        <v/>
      </c>
      <c r="H117" s="21"/>
      <c r="I117" s="21"/>
      <c r="J117" s="22"/>
      <c r="K117" s="21"/>
      <c r="L117" s="22"/>
      <c r="M117" s="25" t="str">
        <f aca="false">IF($K117="","",IFERROR(INDEX(Lists!$D$4:$D$14,MATCH($K117,Lists!$A$4:$A$14,0)),"Check stage"))</f>
        <v/>
      </c>
      <c r="N117" s="21"/>
      <c r="O117" s="21"/>
      <c r="P117" s="26"/>
      <c r="Q117" s="26"/>
      <c r="R117" s="21"/>
      <c r="S117" s="21"/>
      <c r="T117" s="22"/>
      <c r="U117" s="22"/>
      <c r="V117" s="24" t="str">
        <f aca="false">IF(OR(N($P117)=0,$Q117=""),"",$Q117/$P117-1)</f>
        <v/>
      </c>
      <c r="W117" s="25" t="str">
        <f aca="true">IF($J117="","",IF($M117="Active",TODAY(),IF($U117&lt;&gt;"",$U117,IF($L117&lt;&gt;"",$L117,TODAY())))-$J117)</f>
        <v/>
      </c>
      <c r="X117" s="25" t="str">
        <f aca="true">IF(OR($L117="",$M117&lt;&gt;"Active"),"",TODAY()-$L117)</f>
        <v/>
      </c>
      <c r="Y117" s="25" t="str">
        <f aca="false">IF($M117&lt;&gt;"Active","",INDEX(Lists!$C$4:$C$14,MATCH($K117,Lists!$A$4:$A$14,0)))</f>
        <v/>
      </c>
      <c r="Z117" s="25" t="str">
        <f aca="false">IF($B117="","",IF($M117&lt;&gt;"Active","Closed",IF($X117="","",IF($X117&gt;$Y117,"BREACH","On Track"))))</f>
        <v/>
      </c>
      <c r="AA117" s="25" t="str">
        <f aca="false">IF($K117="","",IFERROR(INDEX(Lists!$E$4:$E$14,MATCH($K117,Lists!$A$4:$A$14,0)),""))</f>
        <v/>
      </c>
      <c r="AB117" s="27" t="str">
        <f aca="false">IF($U117&lt;&gt;"",$U117,IF(OR($T117="",$M117&lt;&gt;"Active"),"",$T117+N($R117)))</f>
        <v/>
      </c>
      <c r="AC117" s="25" t="str">
        <f aca="false">IF(OR($T117="",$J117=""),"",$T117-$J117)</f>
        <v/>
      </c>
      <c r="AD117" s="25" t="str">
        <f aca="false">IF(AND($K117="Joined",$U117&lt;&gt;"",$J117&lt;&gt;""),$U117-$J117,"")</f>
        <v/>
      </c>
      <c r="AE117" s="25" t="str">
        <f aca="false">IF($K117="","",IF(OR($K117="Rejected",$K117="Withdrawn"),IFERROR(INDEX(Lists!$B$4:$B$14,MATCH($N117,Lists!$A$4:$A$14,0)),1),IFERROR(INDEX(Lists!$B$4:$B$14,MATCH($K117,Lists!$A$4:$A$14,0)),0)))</f>
        <v/>
      </c>
    </row>
    <row r="118" customFormat="false" ht="15" hidden="false" customHeight="false" outlineLevel="0" collapsed="false">
      <c r="A118" s="25" t="str">
        <f aca="false">IF($B118="","","C-"&amp;TEXT(ROW()-1,"0000"))</f>
        <v/>
      </c>
      <c r="B118" s="21"/>
      <c r="C118" s="21"/>
      <c r="D118" s="21"/>
      <c r="E118" s="21"/>
      <c r="F118" s="25" t="str">
        <f aca="false">IF($E118="","",IFERROR(INDEX(Requisitions!$B$2:$B$101,MATCH($E118,Requisitions!$A$2:$A$101,0)),"Unknown Req"))</f>
        <v/>
      </c>
      <c r="G118" s="25" t="str">
        <f aca="false">IF($E118="","",IFERROR(INDEX(Requisitions!$D$2:$D$101,MATCH($E118,Requisitions!$A$2:$A$101,0)),""))</f>
        <v/>
      </c>
      <c r="H118" s="21"/>
      <c r="I118" s="21"/>
      <c r="J118" s="22"/>
      <c r="K118" s="21"/>
      <c r="L118" s="22"/>
      <c r="M118" s="25" t="str">
        <f aca="false">IF($K118="","",IFERROR(INDEX(Lists!$D$4:$D$14,MATCH($K118,Lists!$A$4:$A$14,0)),"Check stage"))</f>
        <v/>
      </c>
      <c r="N118" s="21"/>
      <c r="O118" s="21"/>
      <c r="P118" s="26"/>
      <c r="Q118" s="26"/>
      <c r="R118" s="21"/>
      <c r="S118" s="21"/>
      <c r="T118" s="22"/>
      <c r="U118" s="22"/>
      <c r="V118" s="24" t="str">
        <f aca="false">IF(OR(N($P118)=0,$Q118=""),"",$Q118/$P118-1)</f>
        <v/>
      </c>
      <c r="W118" s="25" t="str">
        <f aca="true">IF($J118="","",IF($M118="Active",TODAY(),IF($U118&lt;&gt;"",$U118,IF($L118&lt;&gt;"",$L118,TODAY())))-$J118)</f>
        <v/>
      </c>
      <c r="X118" s="25" t="str">
        <f aca="true">IF(OR($L118="",$M118&lt;&gt;"Active"),"",TODAY()-$L118)</f>
        <v/>
      </c>
      <c r="Y118" s="25" t="str">
        <f aca="false">IF($M118&lt;&gt;"Active","",INDEX(Lists!$C$4:$C$14,MATCH($K118,Lists!$A$4:$A$14,0)))</f>
        <v/>
      </c>
      <c r="Z118" s="25" t="str">
        <f aca="false">IF($B118="","",IF($M118&lt;&gt;"Active","Closed",IF($X118="","",IF($X118&gt;$Y118,"BREACH","On Track"))))</f>
        <v/>
      </c>
      <c r="AA118" s="25" t="str">
        <f aca="false">IF($K118="","",IFERROR(INDEX(Lists!$E$4:$E$14,MATCH($K118,Lists!$A$4:$A$14,0)),""))</f>
        <v/>
      </c>
      <c r="AB118" s="27" t="str">
        <f aca="false">IF($U118&lt;&gt;"",$U118,IF(OR($T118="",$M118&lt;&gt;"Active"),"",$T118+N($R118)))</f>
        <v/>
      </c>
      <c r="AC118" s="25" t="str">
        <f aca="false">IF(OR($T118="",$J118=""),"",$T118-$J118)</f>
        <v/>
      </c>
      <c r="AD118" s="25" t="str">
        <f aca="false">IF(AND($K118="Joined",$U118&lt;&gt;"",$J118&lt;&gt;""),$U118-$J118,"")</f>
        <v/>
      </c>
      <c r="AE118" s="25" t="str">
        <f aca="false">IF($K118="","",IF(OR($K118="Rejected",$K118="Withdrawn"),IFERROR(INDEX(Lists!$B$4:$B$14,MATCH($N118,Lists!$A$4:$A$14,0)),1),IFERROR(INDEX(Lists!$B$4:$B$14,MATCH($K118,Lists!$A$4:$A$14,0)),0)))</f>
        <v/>
      </c>
    </row>
    <row r="119" customFormat="false" ht="15" hidden="false" customHeight="false" outlineLevel="0" collapsed="false">
      <c r="A119" s="25" t="str">
        <f aca="false">IF($B119="","","C-"&amp;TEXT(ROW()-1,"0000"))</f>
        <v/>
      </c>
      <c r="B119" s="21"/>
      <c r="C119" s="21"/>
      <c r="D119" s="21"/>
      <c r="E119" s="21"/>
      <c r="F119" s="25" t="str">
        <f aca="false">IF($E119="","",IFERROR(INDEX(Requisitions!$B$2:$B$101,MATCH($E119,Requisitions!$A$2:$A$101,0)),"Unknown Req"))</f>
        <v/>
      </c>
      <c r="G119" s="25" t="str">
        <f aca="false">IF($E119="","",IFERROR(INDEX(Requisitions!$D$2:$D$101,MATCH($E119,Requisitions!$A$2:$A$101,0)),""))</f>
        <v/>
      </c>
      <c r="H119" s="21"/>
      <c r="I119" s="21"/>
      <c r="J119" s="22"/>
      <c r="K119" s="21"/>
      <c r="L119" s="22"/>
      <c r="M119" s="25" t="str">
        <f aca="false">IF($K119="","",IFERROR(INDEX(Lists!$D$4:$D$14,MATCH($K119,Lists!$A$4:$A$14,0)),"Check stage"))</f>
        <v/>
      </c>
      <c r="N119" s="21"/>
      <c r="O119" s="21"/>
      <c r="P119" s="26"/>
      <c r="Q119" s="26"/>
      <c r="R119" s="21"/>
      <c r="S119" s="21"/>
      <c r="T119" s="22"/>
      <c r="U119" s="22"/>
      <c r="V119" s="24" t="str">
        <f aca="false">IF(OR(N($P119)=0,$Q119=""),"",$Q119/$P119-1)</f>
        <v/>
      </c>
      <c r="W119" s="25" t="str">
        <f aca="true">IF($J119="","",IF($M119="Active",TODAY(),IF($U119&lt;&gt;"",$U119,IF($L119&lt;&gt;"",$L119,TODAY())))-$J119)</f>
        <v/>
      </c>
      <c r="X119" s="25" t="str">
        <f aca="true">IF(OR($L119="",$M119&lt;&gt;"Active"),"",TODAY()-$L119)</f>
        <v/>
      </c>
      <c r="Y119" s="25" t="str">
        <f aca="false">IF($M119&lt;&gt;"Active","",INDEX(Lists!$C$4:$C$14,MATCH($K119,Lists!$A$4:$A$14,0)))</f>
        <v/>
      </c>
      <c r="Z119" s="25" t="str">
        <f aca="false">IF($B119="","",IF($M119&lt;&gt;"Active","Closed",IF($X119="","",IF($X119&gt;$Y119,"BREACH","On Track"))))</f>
        <v/>
      </c>
      <c r="AA119" s="25" t="str">
        <f aca="false">IF($K119="","",IFERROR(INDEX(Lists!$E$4:$E$14,MATCH($K119,Lists!$A$4:$A$14,0)),""))</f>
        <v/>
      </c>
      <c r="AB119" s="27" t="str">
        <f aca="false">IF($U119&lt;&gt;"",$U119,IF(OR($T119="",$M119&lt;&gt;"Active"),"",$T119+N($R119)))</f>
        <v/>
      </c>
      <c r="AC119" s="25" t="str">
        <f aca="false">IF(OR($T119="",$J119=""),"",$T119-$J119)</f>
        <v/>
      </c>
      <c r="AD119" s="25" t="str">
        <f aca="false">IF(AND($K119="Joined",$U119&lt;&gt;"",$J119&lt;&gt;""),$U119-$J119,"")</f>
        <v/>
      </c>
      <c r="AE119" s="25" t="str">
        <f aca="false">IF($K119="","",IF(OR($K119="Rejected",$K119="Withdrawn"),IFERROR(INDEX(Lists!$B$4:$B$14,MATCH($N119,Lists!$A$4:$A$14,0)),1),IFERROR(INDEX(Lists!$B$4:$B$14,MATCH($K119,Lists!$A$4:$A$14,0)),0)))</f>
        <v/>
      </c>
    </row>
    <row r="120" customFormat="false" ht="15" hidden="false" customHeight="false" outlineLevel="0" collapsed="false">
      <c r="A120" s="25" t="str">
        <f aca="false">IF($B120="","","C-"&amp;TEXT(ROW()-1,"0000"))</f>
        <v/>
      </c>
      <c r="B120" s="21"/>
      <c r="C120" s="21"/>
      <c r="D120" s="21"/>
      <c r="E120" s="21"/>
      <c r="F120" s="25" t="str">
        <f aca="false">IF($E120="","",IFERROR(INDEX(Requisitions!$B$2:$B$101,MATCH($E120,Requisitions!$A$2:$A$101,0)),"Unknown Req"))</f>
        <v/>
      </c>
      <c r="G120" s="25" t="str">
        <f aca="false">IF($E120="","",IFERROR(INDEX(Requisitions!$D$2:$D$101,MATCH($E120,Requisitions!$A$2:$A$101,0)),""))</f>
        <v/>
      </c>
      <c r="H120" s="21"/>
      <c r="I120" s="21"/>
      <c r="J120" s="22"/>
      <c r="K120" s="21"/>
      <c r="L120" s="22"/>
      <c r="M120" s="25" t="str">
        <f aca="false">IF($K120="","",IFERROR(INDEX(Lists!$D$4:$D$14,MATCH($K120,Lists!$A$4:$A$14,0)),"Check stage"))</f>
        <v/>
      </c>
      <c r="N120" s="21"/>
      <c r="O120" s="21"/>
      <c r="P120" s="26"/>
      <c r="Q120" s="26"/>
      <c r="R120" s="21"/>
      <c r="S120" s="21"/>
      <c r="T120" s="22"/>
      <c r="U120" s="22"/>
      <c r="V120" s="24" t="str">
        <f aca="false">IF(OR(N($P120)=0,$Q120=""),"",$Q120/$P120-1)</f>
        <v/>
      </c>
      <c r="W120" s="25" t="str">
        <f aca="true">IF($J120="","",IF($M120="Active",TODAY(),IF($U120&lt;&gt;"",$U120,IF($L120&lt;&gt;"",$L120,TODAY())))-$J120)</f>
        <v/>
      </c>
      <c r="X120" s="25" t="str">
        <f aca="true">IF(OR($L120="",$M120&lt;&gt;"Active"),"",TODAY()-$L120)</f>
        <v/>
      </c>
      <c r="Y120" s="25" t="str">
        <f aca="false">IF($M120&lt;&gt;"Active","",INDEX(Lists!$C$4:$C$14,MATCH($K120,Lists!$A$4:$A$14,0)))</f>
        <v/>
      </c>
      <c r="Z120" s="25" t="str">
        <f aca="false">IF($B120="","",IF($M120&lt;&gt;"Active","Closed",IF($X120="","",IF($X120&gt;$Y120,"BREACH","On Track"))))</f>
        <v/>
      </c>
      <c r="AA120" s="25" t="str">
        <f aca="false">IF($K120="","",IFERROR(INDEX(Lists!$E$4:$E$14,MATCH($K120,Lists!$A$4:$A$14,0)),""))</f>
        <v/>
      </c>
      <c r="AB120" s="27" t="str">
        <f aca="false">IF($U120&lt;&gt;"",$U120,IF(OR($T120="",$M120&lt;&gt;"Active"),"",$T120+N($R120)))</f>
        <v/>
      </c>
      <c r="AC120" s="25" t="str">
        <f aca="false">IF(OR($T120="",$J120=""),"",$T120-$J120)</f>
        <v/>
      </c>
      <c r="AD120" s="25" t="str">
        <f aca="false">IF(AND($K120="Joined",$U120&lt;&gt;"",$J120&lt;&gt;""),$U120-$J120,"")</f>
        <v/>
      </c>
      <c r="AE120" s="25" t="str">
        <f aca="false">IF($K120="","",IF(OR($K120="Rejected",$K120="Withdrawn"),IFERROR(INDEX(Lists!$B$4:$B$14,MATCH($N120,Lists!$A$4:$A$14,0)),1),IFERROR(INDEX(Lists!$B$4:$B$14,MATCH($K120,Lists!$A$4:$A$14,0)),0)))</f>
        <v/>
      </c>
    </row>
    <row r="121" customFormat="false" ht="15" hidden="false" customHeight="false" outlineLevel="0" collapsed="false">
      <c r="A121" s="25" t="str">
        <f aca="false">IF($B121="","","C-"&amp;TEXT(ROW()-1,"0000"))</f>
        <v/>
      </c>
      <c r="B121" s="21"/>
      <c r="C121" s="21"/>
      <c r="D121" s="21"/>
      <c r="E121" s="21"/>
      <c r="F121" s="25" t="str">
        <f aca="false">IF($E121="","",IFERROR(INDEX(Requisitions!$B$2:$B$101,MATCH($E121,Requisitions!$A$2:$A$101,0)),"Unknown Req"))</f>
        <v/>
      </c>
      <c r="G121" s="25" t="str">
        <f aca="false">IF($E121="","",IFERROR(INDEX(Requisitions!$D$2:$D$101,MATCH($E121,Requisitions!$A$2:$A$101,0)),""))</f>
        <v/>
      </c>
      <c r="H121" s="21"/>
      <c r="I121" s="21"/>
      <c r="J121" s="22"/>
      <c r="K121" s="21"/>
      <c r="L121" s="22"/>
      <c r="M121" s="25" t="str">
        <f aca="false">IF($K121="","",IFERROR(INDEX(Lists!$D$4:$D$14,MATCH($K121,Lists!$A$4:$A$14,0)),"Check stage"))</f>
        <v/>
      </c>
      <c r="N121" s="21"/>
      <c r="O121" s="21"/>
      <c r="P121" s="26"/>
      <c r="Q121" s="26"/>
      <c r="R121" s="21"/>
      <c r="S121" s="21"/>
      <c r="T121" s="22"/>
      <c r="U121" s="22"/>
      <c r="V121" s="24" t="str">
        <f aca="false">IF(OR(N($P121)=0,$Q121=""),"",$Q121/$P121-1)</f>
        <v/>
      </c>
      <c r="W121" s="25" t="str">
        <f aca="true">IF($J121="","",IF($M121="Active",TODAY(),IF($U121&lt;&gt;"",$U121,IF($L121&lt;&gt;"",$L121,TODAY())))-$J121)</f>
        <v/>
      </c>
      <c r="X121" s="25" t="str">
        <f aca="true">IF(OR($L121="",$M121&lt;&gt;"Active"),"",TODAY()-$L121)</f>
        <v/>
      </c>
      <c r="Y121" s="25" t="str">
        <f aca="false">IF($M121&lt;&gt;"Active","",INDEX(Lists!$C$4:$C$14,MATCH($K121,Lists!$A$4:$A$14,0)))</f>
        <v/>
      </c>
      <c r="Z121" s="25" t="str">
        <f aca="false">IF($B121="","",IF($M121&lt;&gt;"Active","Closed",IF($X121="","",IF($X121&gt;$Y121,"BREACH","On Track"))))</f>
        <v/>
      </c>
      <c r="AA121" s="25" t="str">
        <f aca="false">IF($K121="","",IFERROR(INDEX(Lists!$E$4:$E$14,MATCH($K121,Lists!$A$4:$A$14,0)),""))</f>
        <v/>
      </c>
      <c r="AB121" s="27" t="str">
        <f aca="false">IF($U121&lt;&gt;"",$U121,IF(OR($T121="",$M121&lt;&gt;"Active"),"",$T121+N($R121)))</f>
        <v/>
      </c>
      <c r="AC121" s="25" t="str">
        <f aca="false">IF(OR($T121="",$J121=""),"",$T121-$J121)</f>
        <v/>
      </c>
      <c r="AD121" s="25" t="str">
        <f aca="false">IF(AND($K121="Joined",$U121&lt;&gt;"",$J121&lt;&gt;""),$U121-$J121,"")</f>
        <v/>
      </c>
      <c r="AE121" s="25" t="str">
        <f aca="false">IF($K121="","",IF(OR($K121="Rejected",$K121="Withdrawn"),IFERROR(INDEX(Lists!$B$4:$B$14,MATCH($N121,Lists!$A$4:$A$14,0)),1),IFERROR(INDEX(Lists!$B$4:$B$14,MATCH($K121,Lists!$A$4:$A$14,0)),0)))</f>
        <v/>
      </c>
    </row>
    <row r="122" customFormat="false" ht="15" hidden="false" customHeight="false" outlineLevel="0" collapsed="false">
      <c r="A122" s="25" t="str">
        <f aca="false">IF($B122="","","C-"&amp;TEXT(ROW()-1,"0000"))</f>
        <v/>
      </c>
      <c r="B122" s="21"/>
      <c r="C122" s="21"/>
      <c r="D122" s="21"/>
      <c r="E122" s="21"/>
      <c r="F122" s="25" t="str">
        <f aca="false">IF($E122="","",IFERROR(INDEX(Requisitions!$B$2:$B$101,MATCH($E122,Requisitions!$A$2:$A$101,0)),"Unknown Req"))</f>
        <v/>
      </c>
      <c r="G122" s="25" t="str">
        <f aca="false">IF($E122="","",IFERROR(INDEX(Requisitions!$D$2:$D$101,MATCH($E122,Requisitions!$A$2:$A$101,0)),""))</f>
        <v/>
      </c>
      <c r="H122" s="21"/>
      <c r="I122" s="21"/>
      <c r="J122" s="22"/>
      <c r="K122" s="21"/>
      <c r="L122" s="22"/>
      <c r="M122" s="25" t="str">
        <f aca="false">IF($K122="","",IFERROR(INDEX(Lists!$D$4:$D$14,MATCH($K122,Lists!$A$4:$A$14,0)),"Check stage"))</f>
        <v/>
      </c>
      <c r="N122" s="21"/>
      <c r="O122" s="21"/>
      <c r="P122" s="26"/>
      <c r="Q122" s="26"/>
      <c r="R122" s="21"/>
      <c r="S122" s="21"/>
      <c r="T122" s="22"/>
      <c r="U122" s="22"/>
      <c r="V122" s="24" t="str">
        <f aca="false">IF(OR(N($P122)=0,$Q122=""),"",$Q122/$P122-1)</f>
        <v/>
      </c>
      <c r="W122" s="25" t="str">
        <f aca="true">IF($J122="","",IF($M122="Active",TODAY(),IF($U122&lt;&gt;"",$U122,IF($L122&lt;&gt;"",$L122,TODAY())))-$J122)</f>
        <v/>
      </c>
      <c r="X122" s="25" t="str">
        <f aca="true">IF(OR($L122="",$M122&lt;&gt;"Active"),"",TODAY()-$L122)</f>
        <v/>
      </c>
      <c r="Y122" s="25" t="str">
        <f aca="false">IF($M122&lt;&gt;"Active","",INDEX(Lists!$C$4:$C$14,MATCH($K122,Lists!$A$4:$A$14,0)))</f>
        <v/>
      </c>
      <c r="Z122" s="25" t="str">
        <f aca="false">IF($B122="","",IF($M122&lt;&gt;"Active","Closed",IF($X122="","",IF($X122&gt;$Y122,"BREACH","On Track"))))</f>
        <v/>
      </c>
      <c r="AA122" s="25" t="str">
        <f aca="false">IF($K122="","",IFERROR(INDEX(Lists!$E$4:$E$14,MATCH($K122,Lists!$A$4:$A$14,0)),""))</f>
        <v/>
      </c>
      <c r="AB122" s="27" t="str">
        <f aca="false">IF($U122&lt;&gt;"",$U122,IF(OR($T122="",$M122&lt;&gt;"Active"),"",$T122+N($R122)))</f>
        <v/>
      </c>
      <c r="AC122" s="25" t="str">
        <f aca="false">IF(OR($T122="",$J122=""),"",$T122-$J122)</f>
        <v/>
      </c>
      <c r="AD122" s="25" t="str">
        <f aca="false">IF(AND($K122="Joined",$U122&lt;&gt;"",$J122&lt;&gt;""),$U122-$J122,"")</f>
        <v/>
      </c>
      <c r="AE122" s="25" t="str">
        <f aca="false">IF($K122="","",IF(OR($K122="Rejected",$K122="Withdrawn"),IFERROR(INDEX(Lists!$B$4:$B$14,MATCH($N122,Lists!$A$4:$A$14,0)),1),IFERROR(INDEX(Lists!$B$4:$B$14,MATCH($K122,Lists!$A$4:$A$14,0)),0)))</f>
        <v/>
      </c>
    </row>
    <row r="123" customFormat="false" ht="15" hidden="false" customHeight="false" outlineLevel="0" collapsed="false">
      <c r="A123" s="25" t="str">
        <f aca="false">IF($B123="","","C-"&amp;TEXT(ROW()-1,"0000"))</f>
        <v/>
      </c>
      <c r="B123" s="21"/>
      <c r="C123" s="21"/>
      <c r="D123" s="21"/>
      <c r="E123" s="21"/>
      <c r="F123" s="25" t="str">
        <f aca="false">IF($E123="","",IFERROR(INDEX(Requisitions!$B$2:$B$101,MATCH($E123,Requisitions!$A$2:$A$101,0)),"Unknown Req"))</f>
        <v/>
      </c>
      <c r="G123" s="25" t="str">
        <f aca="false">IF($E123="","",IFERROR(INDEX(Requisitions!$D$2:$D$101,MATCH($E123,Requisitions!$A$2:$A$101,0)),""))</f>
        <v/>
      </c>
      <c r="H123" s="21"/>
      <c r="I123" s="21"/>
      <c r="J123" s="22"/>
      <c r="K123" s="21"/>
      <c r="L123" s="22"/>
      <c r="M123" s="25" t="str">
        <f aca="false">IF($K123="","",IFERROR(INDEX(Lists!$D$4:$D$14,MATCH($K123,Lists!$A$4:$A$14,0)),"Check stage"))</f>
        <v/>
      </c>
      <c r="N123" s="21"/>
      <c r="O123" s="21"/>
      <c r="P123" s="26"/>
      <c r="Q123" s="26"/>
      <c r="R123" s="21"/>
      <c r="S123" s="21"/>
      <c r="T123" s="22"/>
      <c r="U123" s="22"/>
      <c r="V123" s="24" t="str">
        <f aca="false">IF(OR(N($P123)=0,$Q123=""),"",$Q123/$P123-1)</f>
        <v/>
      </c>
      <c r="W123" s="25" t="str">
        <f aca="true">IF($J123="","",IF($M123="Active",TODAY(),IF($U123&lt;&gt;"",$U123,IF($L123&lt;&gt;"",$L123,TODAY())))-$J123)</f>
        <v/>
      </c>
      <c r="X123" s="25" t="str">
        <f aca="true">IF(OR($L123="",$M123&lt;&gt;"Active"),"",TODAY()-$L123)</f>
        <v/>
      </c>
      <c r="Y123" s="25" t="str">
        <f aca="false">IF($M123&lt;&gt;"Active","",INDEX(Lists!$C$4:$C$14,MATCH($K123,Lists!$A$4:$A$14,0)))</f>
        <v/>
      </c>
      <c r="Z123" s="25" t="str">
        <f aca="false">IF($B123="","",IF($M123&lt;&gt;"Active","Closed",IF($X123="","",IF($X123&gt;$Y123,"BREACH","On Track"))))</f>
        <v/>
      </c>
      <c r="AA123" s="25" t="str">
        <f aca="false">IF($K123="","",IFERROR(INDEX(Lists!$E$4:$E$14,MATCH($K123,Lists!$A$4:$A$14,0)),""))</f>
        <v/>
      </c>
      <c r="AB123" s="27" t="str">
        <f aca="false">IF($U123&lt;&gt;"",$U123,IF(OR($T123="",$M123&lt;&gt;"Active"),"",$T123+N($R123)))</f>
        <v/>
      </c>
      <c r="AC123" s="25" t="str">
        <f aca="false">IF(OR($T123="",$J123=""),"",$T123-$J123)</f>
        <v/>
      </c>
      <c r="AD123" s="25" t="str">
        <f aca="false">IF(AND($K123="Joined",$U123&lt;&gt;"",$J123&lt;&gt;""),$U123-$J123,"")</f>
        <v/>
      </c>
      <c r="AE123" s="25" t="str">
        <f aca="false">IF($K123="","",IF(OR($K123="Rejected",$K123="Withdrawn"),IFERROR(INDEX(Lists!$B$4:$B$14,MATCH($N123,Lists!$A$4:$A$14,0)),1),IFERROR(INDEX(Lists!$B$4:$B$14,MATCH($K123,Lists!$A$4:$A$14,0)),0)))</f>
        <v/>
      </c>
    </row>
    <row r="124" customFormat="false" ht="15" hidden="false" customHeight="false" outlineLevel="0" collapsed="false">
      <c r="A124" s="25" t="str">
        <f aca="false">IF($B124="","","C-"&amp;TEXT(ROW()-1,"0000"))</f>
        <v/>
      </c>
      <c r="B124" s="21"/>
      <c r="C124" s="21"/>
      <c r="D124" s="21"/>
      <c r="E124" s="21"/>
      <c r="F124" s="25" t="str">
        <f aca="false">IF($E124="","",IFERROR(INDEX(Requisitions!$B$2:$B$101,MATCH($E124,Requisitions!$A$2:$A$101,0)),"Unknown Req"))</f>
        <v/>
      </c>
      <c r="G124" s="25" t="str">
        <f aca="false">IF($E124="","",IFERROR(INDEX(Requisitions!$D$2:$D$101,MATCH($E124,Requisitions!$A$2:$A$101,0)),""))</f>
        <v/>
      </c>
      <c r="H124" s="21"/>
      <c r="I124" s="21"/>
      <c r="J124" s="22"/>
      <c r="K124" s="21"/>
      <c r="L124" s="22"/>
      <c r="M124" s="25" t="str">
        <f aca="false">IF($K124="","",IFERROR(INDEX(Lists!$D$4:$D$14,MATCH($K124,Lists!$A$4:$A$14,0)),"Check stage"))</f>
        <v/>
      </c>
      <c r="N124" s="21"/>
      <c r="O124" s="21"/>
      <c r="P124" s="26"/>
      <c r="Q124" s="26"/>
      <c r="R124" s="21"/>
      <c r="S124" s="21"/>
      <c r="T124" s="22"/>
      <c r="U124" s="22"/>
      <c r="V124" s="24" t="str">
        <f aca="false">IF(OR(N($P124)=0,$Q124=""),"",$Q124/$P124-1)</f>
        <v/>
      </c>
      <c r="W124" s="25" t="str">
        <f aca="true">IF($J124="","",IF($M124="Active",TODAY(),IF($U124&lt;&gt;"",$U124,IF($L124&lt;&gt;"",$L124,TODAY())))-$J124)</f>
        <v/>
      </c>
      <c r="X124" s="25" t="str">
        <f aca="true">IF(OR($L124="",$M124&lt;&gt;"Active"),"",TODAY()-$L124)</f>
        <v/>
      </c>
      <c r="Y124" s="25" t="str">
        <f aca="false">IF($M124&lt;&gt;"Active","",INDEX(Lists!$C$4:$C$14,MATCH($K124,Lists!$A$4:$A$14,0)))</f>
        <v/>
      </c>
      <c r="Z124" s="25" t="str">
        <f aca="false">IF($B124="","",IF($M124&lt;&gt;"Active","Closed",IF($X124="","",IF($X124&gt;$Y124,"BREACH","On Track"))))</f>
        <v/>
      </c>
      <c r="AA124" s="25" t="str">
        <f aca="false">IF($K124="","",IFERROR(INDEX(Lists!$E$4:$E$14,MATCH($K124,Lists!$A$4:$A$14,0)),""))</f>
        <v/>
      </c>
      <c r="AB124" s="27" t="str">
        <f aca="false">IF($U124&lt;&gt;"",$U124,IF(OR($T124="",$M124&lt;&gt;"Active"),"",$T124+N($R124)))</f>
        <v/>
      </c>
      <c r="AC124" s="25" t="str">
        <f aca="false">IF(OR($T124="",$J124=""),"",$T124-$J124)</f>
        <v/>
      </c>
      <c r="AD124" s="25" t="str">
        <f aca="false">IF(AND($K124="Joined",$U124&lt;&gt;"",$J124&lt;&gt;""),$U124-$J124,"")</f>
        <v/>
      </c>
      <c r="AE124" s="25" t="str">
        <f aca="false">IF($K124="","",IF(OR($K124="Rejected",$K124="Withdrawn"),IFERROR(INDEX(Lists!$B$4:$B$14,MATCH($N124,Lists!$A$4:$A$14,0)),1),IFERROR(INDEX(Lists!$B$4:$B$14,MATCH($K124,Lists!$A$4:$A$14,0)),0)))</f>
        <v/>
      </c>
    </row>
    <row r="125" customFormat="false" ht="15" hidden="false" customHeight="false" outlineLevel="0" collapsed="false">
      <c r="A125" s="25" t="str">
        <f aca="false">IF($B125="","","C-"&amp;TEXT(ROW()-1,"0000"))</f>
        <v/>
      </c>
      <c r="B125" s="21"/>
      <c r="C125" s="21"/>
      <c r="D125" s="21"/>
      <c r="E125" s="21"/>
      <c r="F125" s="25" t="str">
        <f aca="false">IF($E125="","",IFERROR(INDEX(Requisitions!$B$2:$B$101,MATCH($E125,Requisitions!$A$2:$A$101,0)),"Unknown Req"))</f>
        <v/>
      </c>
      <c r="G125" s="25" t="str">
        <f aca="false">IF($E125="","",IFERROR(INDEX(Requisitions!$D$2:$D$101,MATCH($E125,Requisitions!$A$2:$A$101,0)),""))</f>
        <v/>
      </c>
      <c r="H125" s="21"/>
      <c r="I125" s="21"/>
      <c r="J125" s="22"/>
      <c r="K125" s="21"/>
      <c r="L125" s="22"/>
      <c r="M125" s="25" t="str">
        <f aca="false">IF($K125="","",IFERROR(INDEX(Lists!$D$4:$D$14,MATCH($K125,Lists!$A$4:$A$14,0)),"Check stage"))</f>
        <v/>
      </c>
      <c r="N125" s="21"/>
      <c r="O125" s="21"/>
      <c r="P125" s="26"/>
      <c r="Q125" s="26"/>
      <c r="R125" s="21"/>
      <c r="S125" s="21"/>
      <c r="T125" s="22"/>
      <c r="U125" s="22"/>
      <c r="V125" s="24" t="str">
        <f aca="false">IF(OR(N($P125)=0,$Q125=""),"",$Q125/$P125-1)</f>
        <v/>
      </c>
      <c r="W125" s="25" t="str">
        <f aca="true">IF($J125="","",IF($M125="Active",TODAY(),IF($U125&lt;&gt;"",$U125,IF($L125&lt;&gt;"",$L125,TODAY())))-$J125)</f>
        <v/>
      </c>
      <c r="X125" s="25" t="str">
        <f aca="true">IF(OR($L125="",$M125&lt;&gt;"Active"),"",TODAY()-$L125)</f>
        <v/>
      </c>
      <c r="Y125" s="25" t="str">
        <f aca="false">IF($M125&lt;&gt;"Active","",INDEX(Lists!$C$4:$C$14,MATCH($K125,Lists!$A$4:$A$14,0)))</f>
        <v/>
      </c>
      <c r="Z125" s="25" t="str">
        <f aca="false">IF($B125="","",IF($M125&lt;&gt;"Active","Closed",IF($X125="","",IF($X125&gt;$Y125,"BREACH","On Track"))))</f>
        <v/>
      </c>
      <c r="AA125" s="25" t="str">
        <f aca="false">IF($K125="","",IFERROR(INDEX(Lists!$E$4:$E$14,MATCH($K125,Lists!$A$4:$A$14,0)),""))</f>
        <v/>
      </c>
      <c r="AB125" s="27" t="str">
        <f aca="false">IF($U125&lt;&gt;"",$U125,IF(OR($T125="",$M125&lt;&gt;"Active"),"",$T125+N($R125)))</f>
        <v/>
      </c>
      <c r="AC125" s="25" t="str">
        <f aca="false">IF(OR($T125="",$J125=""),"",$T125-$J125)</f>
        <v/>
      </c>
      <c r="AD125" s="25" t="str">
        <f aca="false">IF(AND($K125="Joined",$U125&lt;&gt;"",$J125&lt;&gt;""),$U125-$J125,"")</f>
        <v/>
      </c>
      <c r="AE125" s="25" t="str">
        <f aca="false">IF($K125="","",IF(OR($K125="Rejected",$K125="Withdrawn"),IFERROR(INDEX(Lists!$B$4:$B$14,MATCH($N125,Lists!$A$4:$A$14,0)),1),IFERROR(INDEX(Lists!$B$4:$B$14,MATCH($K125,Lists!$A$4:$A$14,0)),0)))</f>
        <v/>
      </c>
    </row>
    <row r="126" customFormat="false" ht="15" hidden="false" customHeight="false" outlineLevel="0" collapsed="false">
      <c r="A126" s="25" t="str">
        <f aca="false">IF($B126="","","C-"&amp;TEXT(ROW()-1,"0000"))</f>
        <v/>
      </c>
      <c r="B126" s="21"/>
      <c r="C126" s="21"/>
      <c r="D126" s="21"/>
      <c r="E126" s="21"/>
      <c r="F126" s="25" t="str">
        <f aca="false">IF($E126="","",IFERROR(INDEX(Requisitions!$B$2:$B$101,MATCH($E126,Requisitions!$A$2:$A$101,0)),"Unknown Req"))</f>
        <v/>
      </c>
      <c r="G126" s="25" t="str">
        <f aca="false">IF($E126="","",IFERROR(INDEX(Requisitions!$D$2:$D$101,MATCH($E126,Requisitions!$A$2:$A$101,0)),""))</f>
        <v/>
      </c>
      <c r="H126" s="21"/>
      <c r="I126" s="21"/>
      <c r="J126" s="22"/>
      <c r="K126" s="21"/>
      <c r="L126" s="22"/>
      <c r="M126" s="25" t="str">
        <f aca="false">IF($K126="","",IFERROR(INDEX(Lists!$D$4:$D$14,MATCH($K126,Lists!$A$4:$A$14,0)),"Check stage"))</f>
        <v/>
      </c>
      <c r="N126" s="21"/>
      <c r="O126" s="21"/>
      <c r="P126" s="26"/>
      <c r="Q126" s="26"/>
      <c r="R126" s="21"/>
      <c r="S126" s="21"/>
      <c r="T126" s="22"/>
      <c r="U126" s="22"/>
      <c r="V126" s="24" t="str">
        <f aca="false">IF(OR(N($P126)=0,$Q126=""),"",$Q126/$P126-1)</f>
        <v/>
      </c>
      <c r="W126" s="25" t="str">
        <f aca="true">IF($J126="","",IF($M126="Active",TODAY(),IF($U126&lt;&gt;"",$U126,IF($L126&lt;&gt;"",$L126,TODAY())))-$J126)</f>
        <v/>
      </c>
      <c r="X126" s="25" t="str">
        <f aca="true">IF(OR($L126="",$M126&lt;&gt;"Active"),"",TODAY()-$L126)</f>
        <v/>
      </c>
      <c r="Y126" s="25" t="str">
        <f aca="false">IF($M126&lt;&gt;"Active","",INDEX(Lists!$C$4:$C$14,MATCH($K126,Lists!$A$4:$A$14,0)))</f>
        <v/>
      </c>
      <c r="Z126" s="25" t="str">
        <f aca="false">IF($B126="","",IF($M126&lt;&gt;"Active","Closed",IF($X126="","",IF($X126&gt;$Y126,"BREACH","On Track"))))</f>
        <v/>
      </c>
      <c r="AA126" s="25" t="str">
        <f aca="false">IF($K126="","",IFERROR(INDEX(Lists!$E$4:$E$14,MATCH($K126,Lists!$A$4:$A$14,0)),""))</f>
        <v/>
      </c>
      <c r="AB126" s="27" t="str">
        <f aca="false">IF($U126&lt;&gt;"",$U126,IF(OR($T126="",$M126&lt;&gt;"Active"),"",$T126+N($R126)))</f>
        <v/>
      </c>
      <c r="AC126" s="25" t="str">
        <f aca="false">IF(OR($T126="",$J126=""),"",$T126-$J126)</f>
        <v/>
      </c>
      <c r="AD126" s="25" t="str">
        <f aca="false">IF(AND($K126="Joined",$U126&lt;&gt;"",$J126&lt;&gt;""),$U126-$J126,"")</f>
        <v/>
      </c>
      <c r="AE126" s="25" t="str">
        <f aca="false">IF($K126="","",IF(OR($K126="Rejected",$K126="Withdrawn"),IFERROR(INDEX(Lists!$B$4:$B$14,MATCH($N126,Lists!$A$4:$A$14,0)),1),IFERROR(INDEX(Lists!$B$4:$B$14,MATCH($K126,Lists!$A$4:$A$14,0)),0)))</f>
        <v/>
      </c>
    </row>
    <row r="127" customFormat="false" ht="15" hidden="false" customHeight="false" outlineLevel="0" collapsed="false">
      <c r="A127" s="25" t="str">
        <f aca="false">IF($B127="","","C-"&amp;TEXT(ROW()-1,"0000"))</f>
        <v/>
      </c>
      <c r="B127" s="21"/>
      <c r="C127" s="21"/>
      <c r="D127" s="21"/>
      <c r="E127" s="21"/>
      <c r="F127" s="25" t="str">
        <f aca="false">IF($E127="","",IFERROR(INDEX(Requisitions!$B$2:$B$101,MATCH($E127,Requisitions!$A$2:$A$101,0)),"Unknown Req"))</f>
        <v/>
      </c>
      <c r="G127" s="25" t="str">
        <f aca="false">IF($E127="","",IFERROR(INDEX(Requisitions!$D$2:$D$101,MATCH($E127,Requisitions!$A$2:$A$101,0)),""))</f>
        <v/>
      </c>
      <c r="H127" s="21"/>
      <c r="I127" s="21"/>
      <c r="J127" s="22"/>
      <c r="K127" s="21"/>
      <c r="L127" s="22"/>
      <c r="M127" s="25" t="str">
        <f aca="false">IF($K127="","",IFERROR(INDEX(Lists!$D$4:$D$14,MATCH($K127,Lists!$A$4:$A$14,0)),"Check stage"))</f>
        <v/>
      </c>
      <c r="N127" s="21"/>
      <c r="O127" s="21"/>
      <c r="P127" s="26"/>
      <c r="Q127" s="26"/>
      <c r="R127" s="21"/>
      <c r="S127" s="21"/>
      <c r="T127" s="22"/>
      <c r="U127" s="22"/>
      <c r="V127" s="24" t="str">
        <f aca="false">IF(OR(N($P127)=0,$Q127=""),"",$Q127/$P127-1)</f>
        <v/>
      </c>
      <c r="W127" s="25" t="str">
        <f aca="true">IF($J127="","",IF($M127="Active",TODAY(),IF($U127&lt;&gt;"",$U127,IF($L127&lt;&gt;"",$L127,TODAY())))-$J127)</f>
        <v/>
      </c>
      <c r="X127" s="25" t="str">
        <f aca="true">IF(OR($L127="",$M127&lt;&gt;"Active"),"",TODAY()-$L127)</f>
        <v/>
      </c>
      <c r="Y127" s="25" t="str">
        <f aca="false">IF($M127&lt;&gt;"Active","",INDEX(Lists!$C$4:$C$14,MATCH($K127,Lists!$A$4:$A$14,0)))</f>
        <v/>
      </c>
      <c r="Z127" s="25" t="str">
        <f aca="false">IF($B127="","",IF($M127&lt;&gt;"Active","Closed",IF($X127="","",IF($X127&gt;$Y127,"BREACH","On Track"))))</f>
        <v/>
      </c>
      <c r="AA127" s="25" t="str">
        <f aca="false">IF($K127="","",IFERROR(INDEX(Lists!$E$4:$E$14,MATCH($K127,Lists!$A$4:$A$14,0)),""))</f>
        <v/>
      </c>
      <c r="AB127" s="27" t="str">
        <f aca="false">IF($U127&lt;&gt;"",$U127,IF(OR($T127="",$M127&lt;&gt;"Active"),"",$T127+N($R127)))</f>
        <v/>
      </c>
      <c r="AC127" s="25" t="str">
        <f aca="false">IF(OR($T127="",$J127=""),"",$T127-$J127)</f>
        <v/>
      </c>
      <c r="AD127" s="25" t="str">
        <f aca="false">IF(AND($K127="Joined",$U127&lt;&gt;"",$J127&lt;&gt;""),$U127-$J127,"")</f>
        <v/>
      </c>
      <c r="AE127" s="25" t="str">
        <f aca="false">IF($K127="","",IF(OR($K127="Rejected",$K127="Withdrawn"),IFERROR(INDEX(Lists!$B$4:$B$14,MATCH($N127,Lists!$A$4:$A$14,0)),1),IFERROR(INDEX(Lists!$B$4:$B$14,MATCH($K127,Lists!$A$4:$A$14,0)),0)))</f>
        <v/>
      </c>
    </row>
    <row r="128" customFormat="false" ht="15" hidden="false" customHeight="false" outlineLevel="0" collapsed="false">
      <c r="A128" s="25" t="str">
        <f aca="false">IF($B128="","","C-"&amp;TEXT(ROW()-1,"0000"))</f>
        <v/>
      </c>
      <c r="B128" s="21"/>
      <c r="C128" s="21"/>
      <c r="D128" s="21"/>
      <c r="E128" s="21"/>
      <c r="F128" s="25" t="str">
        <f aca="false">IF($E128="","",IFERROR(INDEX(Requisitions!$B$2:$B$101,MATCH($E128,Requisitions!$A$2:$A$101,0)),"Unknown Req"))</f>
        <v/>
      </c>
      <c r="G128" s="25" t="str">
        <f aca="false">IF($E128="","",IFERROR(INDEX(Requisitions!$D$2:$D$101,MATCH($E128,Requisitions!$A$2:$A$101,0)),""))</f>
        <v/>
      </c>
      <c r="H128" s="21"/>
      <c r="I128" s="21"/>
      <c r="J128" s="22"/>
      <c r="K128" s="21"/>
      <c r="L128" s="22"/>
      <c r="M128" s="25" t="str">
        <f aca="false">IF($K128="","",IFERROR(INDEX(Lists!$D$4:$D$14,MATCH($K128,Lists!$A$4:$A$14,0)),"Check stage"))</f>
        <v/>
      </c>
      <c r="N128" s="21"/>
      <c r="O128" s="21"/>
      <c r="P128" s="26"/>
      <c r="Q128" s="26"/>
      <c r="R128" s="21"/>
      <c r="S128" s="21"/>
      <c r="T128" s="22"/>
      <c r="U128" s="22"/>
      <c r="V128" s="24" t="str">
        <f aca="false">IF(OR(N($P128)=0,$Q128=""),"",$Q128/$P128-1)</f>
        <v/>
      </c>
      <c r="W128" s="25" t="str">
        <f aca="true">IF($J128="","",IF($M128="Active",TODAY(),IF($U128&lt;&gt;"",$U128,IF($L128&lt;&gt;"",$L128,TODAY())))-$J128)</f>
        <v/>
      </c>
      <c r="X128" s="25" t="str">
        <f aca="true">IF(OR($L128="",$M128&lt;&gt;"Active"),"",TODAY()-$L128)</f>
        <v/>
      </c>
      <c r="Y128" s="25" t="str">
        <f aca="false">IF($M128&lt;&gt;"Active","",INDEX(Lists!$C$4:$C$14,MATCH($K128,Lists!$A$4:$A$14,0)))</f>
        <v/>
      </c>
      <c r="Z128" s="25" t="str">
        <f aca="false">IF($B128="","",IF($M128&lt;&gt;"Active","Closed",IF($X128="","",IF($X128&gt;$Y128,"BREACH","On Track"))))</f>
        <v/>
      </c>
      <c r="AA128" s="25" t="str">
        <f aca="false">IF($K128="","",IFERROR(INDEX(Lists!$E$4:$E$14,MATCH($K128,Lists!$A$4:$A$14,0)),""))</f>
        <v/>
      </c>
      <c r="AB128" s="27" t="str">
        <f aca="false">IF($U128&lt;&gt;"",$U128,IF(OR($T128="",$M128&lt;&gt;"Active"),"",$T128+N($R128)))</f>
        <v/>
      </c>
      <c r="AC128" s="25" t="str">
        <f aca="false">IF(OR($T128="",$J128=""),"",$T128-$J128)</f>
        <v/>
      </c>
      <c r="AD128" s="25" t="str">
        <f aca="false">IF(AND($K128="Joined",$U128&lt;&gt;"",$J128&lt;&gt;""),$U128-$J128,"")</f>
        <v/>
      </c>
      <c r="AE128" s="25" t="str">
        <f aca="false">IF($K128="","",IF(OR($K128="Rejected",$K128="Withdrawn"),IFERROR(INDEX(Lists!$B$4:$B$14,MATCH($N128,Lists!$A$4:$A$14,0)),1),IFERROR(INDEX(Lists!$B$4:$B$14,MATCH($K128,Lists!$A$4:$A$14,0)),0)))</f>
        <v/>
      </c>
    </row>
    <row r="129" customFormat="false" ht="15" hidden="false" customHeight="false" outlineLevel="0" collapsed="false">
      <c r="A129" s="25" t="str">
        <f aca="false">IF($B129="","","C-"&amp;TEXT(ROW()-1,"0000"))</f>
        <v/>
      </c>
      <c r="B129" s="21"/>
      <c r="C129" s="21"/>
      <c r="D129" s="21"/>
      <c r="E129" s="21"/>
      <c r="F129" s="25" t="str">
        <f aca="false">IF($E129="","",IFERROR(INDEX(Requisitions!$B$2:$B$101,MATCH($E129,Requisitions!$A$2:$A$101,0)),"Unknown Req"))</f>
        <v/>
      </c>
      <c r="G129" s="25" t="str">
        <f aca="false">IF($E129="","",IFERROR(INDEX(Requisitions!$D$2:$D$101,MATCH($E129,Requisitions!$A$2:$A$101,0)),""))</f>
        <v/>
      </c>
      <c r="H129" s="21"/>
      <c r="I129" s="21"/>
      <c r="J129" s="22"/>
      <c r="K129" s="21"/>
      <c r="L129" s="22"/>
      <c r="M129" s="25" t="str">
        <f aca="false">IF($K129="","",IFERROR(INDEX(Lists!$D$4:$D$14,MATCH($K129,Lists!$A$4:$A$14,0)),"Check stage"))</f>
        <v/>
      </c>
      <c r="N129" s="21"/>
      <c r="O129" s="21"/>
      <c r="P129" s="26"/>
      <c r="Q129" s="26"/>
      <c r="R129" s="21"/>
      <c r="S129" s="21"/>
      <c r="T129" s="22"/>
      <c r="U129" s="22"/>
      <c r="V129" s="24" t="str">
        <f aca="false">IF(OR(N($P129)=0,$Q129=""),"",$Q129/$P129-1)</f>
        <v/>
      </c>
      <c r="W129" s="25" t="str">
        <f aca="true">IF($J129="","",IF($M129="Active",TODAY(),IF($U129&lt;&gt;"",$U129,IF($L129&lt;&gt;"",$L129,TODAY())))-$J129)</f>
        <v/>
      </c>
      <c r="X129" s="25" t="str">
        <f aca="true">IF(OR($L129="",$M129&lt;&gt;"Active"),"",TODAY()-$L129)</f>
        <v/>
      </c>
      <c r="Y129" s="25" t="str">
        <f aca="false">IF($M129&lt;&gt;"Active","",INDEX(Lists!$C$4:$C$14,MATCH($K129,Lists!$A$4:$A$14,0)))</f>
        <v/>
      </c>
      <c r="Z129" s="25" t="str">
        <f aca="false">IF($B129="","",IF($M129&lt;&gt;"Active","Closed",IF($X129="","",IF($X129&gt;$Y129,"BREACH","On Track"))))</f>
        <v/>
      </c>
      <c r="AA129" s="25" t="str">
        <f aca="false">IF($K129="","",IFERROR(INDEX(Lists!$E$4:$E$14,MATCH($K129,Lists!$A$4:$A$14,0)),""))</f>
        <v/>
      </c>
      <c r="AB129" s="27" t="str">
        <f aca="false">IF($U129&lt;&gt;"",$U129,IF(OR($T129="",$M129&lt;&gt;"Active"),"",$T129+N($R129)))</f>
        <v/>
      </c>
      <c r="AC129" s="25" t="str">
        <f aca="false">IF(OR($T129="",$J129=""),"",$T129-$J129)</f>
        <v/>
      </c>
      <c r="AD129" s="25" t="str">
        <f aca="false">IF(AND($K129="Joined",$U129&lt;&gt;"",$J129&lt;&gt;""),$U129-$J129,"")</f>
        <v/>
      </c>
      <c r="AE129" s="25" t="str">
        <f aca="false">IF($K129="","",IF(OR($K129="Rejected",$K129="Withdrawn"),IFERROR(INDEX(Lists!$B$4:$B$14,MATCH($N129,Lists!$A$4:$A$14,0)),1),IFERROR(INDEX(Lists!$B$4:$B$14,MATCH($K129,Lists!$A$4:$A$14,0)),0)))</f>
        <v/>
      </c>
    </row>
    <row r="130" customFormat="false" ht="15" hidden="false" customHeight="false" outlineLevel="0" collapsed="false">
      <c r="A130" s="25" t="str">
        <f aca="false">IF($B130="","","C-"&amp;TEXT(ROW()-1,"0000"))</f>
        <v/>
      </c>
      <c r="B130" s="21"/>
      <c r="C130" s="21"/>
      <c r="D130" s="21"/>
      <c r="E130" s="21"/>
      <c r="F130" s="25" t="str">
        <f aca="false">IF($E130="","",IFERROR(INDEX(Requisitions!$B$2:$B$101,MATCH($E130,Requisitions!$A$2:$A$101,0)),"Unknown Req"))</f>
        <v/>
      </c>
      <c r="G130" s="25" t="str">
        <f aca="false">IF($E130="","",IFERROR(INDEX(Requisitions!$D$2:$D$101,MATCH($E130,Requisitions!$A$2:$A$101,0)),""))</f>
        <v/>
      </c>
      <c r="H130" s="21"/>
      <c r="I130" s="21"/>
      <c r="J130" s="22"/>
      <c r="K130" s="21"/>
      <c r="L130" s="22"/>
      <c r="M130" s="25" t="str">
        <f aca="false">IF($K130="","",IFERROR(INDEX(Lists!$D$4:$D$14,MATCH($K130,Lists!$A$4:$A$14,0)),"Check stage"))</f>
        <v/>
      </c>
      <c r="N130" s="21"/>
      <c r="O130" s="21"/>
      <c r="P130" s="26"/>
      <c r="Q130" s="26"/>
      <c r="R130" s="21"/>
      <c r="S130" s="21"/>
      <c r="T130" s="22"/>
      <c r="U130" s="22"/>
      <c r="V130" s="24" t="str">
        <f aca="false">IF(OR(N($P130)=0,$Q130=""),"",$Q130/$P130-1)</f>
        <v/>
      </c>
      <c r="W130" s="25" t="str">
        <f aca="true">IF($J130="","",IF($M130="Active",TODAY(),IF($U130&lt;&gt;"",$U130,IF($L130&lt;&gt;"",$L130,TODAY())))-$J130)</f>
        <v/>
      </c>
      <c r="X130" s="25" t="str">
        <f aca="true">IF(OR($L130="",$M130&lt;&gt;"Active"),"",TODAY()-$L130)</f>
        <v/>
      </c>
      <c r="Y130" s="25" t="str">
        <f aca="false">IF($M130&lt;&gt;"Active","",INDEX(Lists!$C$4:$C$14,MATCH($K130,Lists!$A$4:$A$14,0)))</f>
        <v/>
      </c>
      <c r="Z130" s="25" t="str">
        <f aca="false">IF($B130="","",IF($M130&lt;&gt;"Active","Closed",IF($X130="","",IF($X130&gt;$Y130,"BREACH","On Track"))))</f>
        <v/>
      </c>
      <c r="AA130" s="25" t="str">
        <f aca="false">IF($K130="","",IFERROR(INDEX(Lists!$E$4:$E$14,MATCH($K130,Lists!$A$4:$A$14,0)),""))</f>
        <v/>
      </c>
      <c r="AB130" s="27" t="str">
        <f aca="false">IF($U130&lt;&gt;"",$U130,IF(OR($T130="",$M130&lt;&gt;"Active"),"",$T130+N($R130)))</f>
        <v/>
      </c>
      <c r="AC130" s="25" t="str">
        <f aca="false">IF(OR($T130="",$J130=""),"",$T130-$J130)</f>
        <v/>
      </c>
      <c r="AD130" s="25" t="str">
        <f aca="false">IF(AND($K130="Joined",$U130&lt;&gt;"",$J130&lt;&gt;""),$U130-$J130,"")</f>
        <v/>
      </c>
      <c r="AE130" s="25" t="str">
        <f aca="false">IF($K130="","",IF(OR($K130="Rejected",$K130="Withdrawn"),IFERROR(INDEX(Lists!$B$4:$B$14,MATCH($N130,Lists!$A$4:$A$14,0)),1),IFERROR(INDEX(Lists!$B$4:$B$14,MATCH($K130,Lists!$A$4:$A$14,0)),0)))</f>
        <v/>
      </c>
    </row>
    <row r="131" customFormat="false" ht="15" hidden="false" customHeight="false" outlineLevel="0" collapsed="false">
      <c r="A131" s="25" t="str">
        <f aca="false">IF($B131="","","C-"&amp;TEXT(ROW()-1,"0000"))</f>
        <v/>
      </c>
      <c r="B131" s="21"/>
      <c r="C131" s="21"/>
      <c r="D131" s="21"/>
      <c r="E131" s="21"/>
      <c r="F131" s="25" t="str">
        <f aca="false">IF($E131="","",IFERROR(INDEX(Requisitions!$B$2:$B$101,MATCH($E131,Requisitions!$A$2:$A$101,0)),"Unknown Req"))</f>
        <v/>
      </c>
      <c r="G131" s="25" t="str">
        <f aca="false">IF($E131="","",IFERROR(INDEX(Requisitions!$D$2:$D$101,MATCH($E131,Requisitions!$A$2:$A$101,0)),""))</f>
        <v/>
      </c>
      <c r="H131" s="21"/>
      <c r="I131" s="21"/>
      <c r="J131" s="22"/>
      <c r="K131" s="21"/>
      <c r="L131" s="22"/>
      <c r="M131" s="25" t="str">
        <f aca="false">IF($K131="","",IFERROR(INDEX(Lists!$D$4:$D$14,MATCH($K131,Lists!$A$4:$A$14,0)),"Check stage"))</f>
        <v/>
      </c>
      <c r="N131" s="21"/>
      <c r="O131" s="21"/>
      <c r="P131" s="26"/>
      <c r="Q131" s="26"/>
      <c r="R131" s="21"/>
      <c r="S131" s="21"/>
      <c r="T131" s="22"/>
      <c r="U131" s="22"/>
      <c r="V131" s="24" t="str">
        <f aca="false">IF(OR(N($P131)=0,$Q131=""),"",$Q131/$P131-1)</f>
        <v/>
      </c>
      <c r="W131" s="25" t="str">
        <f aca="true">IF($J131="","",IF($M131="Active",TODAY(),IF($U131&lt;&gt;"",$U131,IF($L131&lt;&gt;"",$L131,TODAY())))-$J131)</f>
        <v/>
      </c>
      <c r="X131" s="25" t="str">
        <f aca="true">IF(OR($L131="",$M131&lt;&gt;"Active"),"",TODAY()-$L131)</f>
        <v/>
      </c>
      <c r="Y131" s="25" t="str">
        <f aca="false">IF($M131&lt;&gt;"Active","",INDEX(Lists!$C$4:$C$14,MATCH($K131,Lists!$A$4:$A$14,0)))</f>
        <v/>
      </c>
      <c r="Z131" s="25" t="str">
        <f aca="false">IF($B131="","",IF($M131&lt;&gt;"Active","Closed",IF($X131="","",IF($X131&gt;$Y131,"BREACH","On Track"))))</f>
        <v/>
      </c>
      <c r="AA131" s="25" t="str">
        <f aca="false">IF($K131="","",IFERROR(INDEX(Lists!$E$4:$E$14,MATCH($K131,Lists!$A$4:$A$14,0)),""))</f>
        <v/>
      </c>
      <c r="AB131" s="27" t="str">
        <f aca="false">IF($U131&lt;&gt;"",$U131,IF(OR($T131="",$M131&lt;&gt;"Active"),"",$T131+N($R131)))</f>
        <v/>
      </c>
      <c r="AC131" s="25" t="str">
        <f aca="false">IF(OR($T131="",$J131=""),"",$T131-$J131)</f>
        <v/>
      </c>
      <c r="AD131" s="25" t="str">
        <f aca="false">IF(AND($K131="Joined",$U131&lt;&gt;"",$J131&lt;&gt;""),$U131-$J131,"")</f>
        <v/>
      </c>
      <c r="AE131" s="25" t="str">
        <f aca="false">IF($K131="","",IF(OR($K131="Rejected",$K131="Withdrawn"),IFERROR(INDEX(Lists!$B$4:$B$14,MATCH($N131,Lists!$A$4:$A$14,0)),1),IFERROR(INDEX(Lists!$B$4:$B$14,MATCH($K131,Lists!$A$4:$A$14,0)),0)))</f>
        <v/>
      </c>
    </row>
    <row r="132" customFormat="false" ht="15" hidden="false" customHeight="false" outlineLevel="0" collapsed="false">
      <c r="A132" s="25" t="str">
        <f aca="false">IF($B132="","","C-"&amp;TEXT(ROW()-1,"0000"))</f>
        <v/>
      </c>
      <c r="B132" s="21"/>
      <c r="C132" s="21"/>
      <c r="D132" s="21"/>
      <c r="E132" s="21"/>
      <c r="F132" s="25" t="str">
        <f aca="false">IF($E132="","",IFERROR(INDEX(Requisitions!$B$2:$B$101,MATCH($E132,Requisitions!$A$2:$A$101,0)),"Unknown Req"))</f>
        <v/>
      </c>
      <c r="G132" s="25" t="str">
        <f aca="false">IF($E132="","",IFERROR(INDEX(Requisitions!$D$2:$D$101,MATCH($E132,Requisitions!$A$2:$A$101,0)),""))</f>
        <v/>
      </c>
      <c r="H132" s="21"/>
      <c r="I132" s="21"/>
      <c r="J132" s="22"/>
      <c r="K132" s="21"/>
      <c r="L132" s="22"/>
      <c r="M132" s="25" t="str">
        <f aca="false">IF($K132="","",IFERROR(INDEX(Lists!$D$4:$D$14,MATCH($K132,Lists!$A$4:$A$14,0)),"Check stage"))</f>
        <v/>
      </c>
      <c r="N132" s="21"/>
      <c r="O132" s="21"/>
      <c r="P132" s="26"/>
      <c r="Q132" s="26"/>
      <c r="R132" s="21"/>
      <c r="S132" s="21"/>
      <c r="T132" s="22"/>
      <c r="U132" s="22"/>
      <c r="V132" s="24" t="str">
        <f aca="false">IF(OR(N($P132)=0,$Q132=""),"",$Q132/$P132-1)</f>
        <v/>
      </c>
      <c r="W132" s="25" t="str">
        <f aca="true">IF($J132="","",IF($M132="Active",TODAY(),IF($U132&lt;&gt;"",$U132,IF($L132&lt;&gt;"",$L132,TODAY())))-$J132)</f>
        <v/>
      </c>
      <c r="X132" s="25" t="str">
        <f aca="true">IF(OR($L132="",$M132&lt;&gt;"Active"),"",TODAY()-$L132)</f>
        <v/>
      </c>
      <c r="Y132" s="25" t="str">
        <f aca="false">IF($M132&lt;&gt;"Active","",INDEX(Lists!$C$4:$C$14,MATCH($K132,Lists!$A$4:$A$14,0)))</f>
        <v/>
      </c>
      <c r="Z132" s="25" t="str">
        <f aca="false">IF($B132="","",IF($M132&lt;&gt;"Active","Closed",IF($X132="","",IF($X132&gt;$Y132,"BREACH","On Track"))))</f>
        <v/>
      </c>
      <c r="AA132" s="25" t="str">
        <f aca="false">IF($K132="","",IFERROR(INDEX(Lists!$E$4:$E$14,MATCH($K132,Lists!$A$4:$A$14,0)),""))</f>
        <v/>
      </c>
      <c r="AB132" s="27" t="str">
        <f aca="false">IF($U132&lt;&gt;"",$U132,IF(OR($T132="",$M132&lt;&gt;"Active"),"",$T132+N($R132)))</f>
        <v/>
      </c>
      <c r="AC132" s="25" t="str">
        <f aca="false">IF(OR($T132="",$J132=""),"",$T132-$J132)</f>
        <v/>
      </c>
      <c r="AD132" s="25" t="str">
        <f aca="false">IF(AND($K132="Joined",$U132&lt;&gt;"",$J132&lt;&gt;""),$U132-$J132,"")</f>
        <v/>
      </c>
      <c r="AE132" s="25" t="str">
        <f aca="false">IF($K132="","",IF(OR($K132="Rejected",$K132="Withdrawn"),IFERROR(INDEX(Lists!$B$4:$B$14,MATCH($N132,Lists!$A$4:$A$14,0)),1),IFERROR(INDEX(Lists!$B$4:$B$14,MATCH($K132,Lists!$A$4:$A$14,0)),0)))</f>
        <v/>
      </c>
    </row>
    <row r="133" customFormat="false" ht="15" hidden="false" customHeight="false" outlineLevel="0" collapsed="false">
      <c r="A133" s="25" t="str">
        <f aca="false">IF($B133="","","C-"&amp;TEXT(ROW()-1,"0000"))</f>
        <v/>
      </c>
      <c r="B133" s="21"/>
      <c r="C133" s="21"/>
      <c r="D133" s="21"/>
      <c r="E133" s="21"/>
      <c r="F133" s="25" t="str">
        <f aca="false">IF($E133="","",IFERROR(INDEX(Requisitions!$B$2:$B$101,MATCH($E133,Requisitions!$A$2:$A$101,0)),"Unknown Req"))</f>
        <v/>
      </c>
      <c r="G133" s="25" t="str">
        <f aca="false">IF($E133="","",IFERROR(INDEX(Requisitions!$D$2:$D$101,MATCH($E133,Requisitions!$A$2:$A$101,0)),""))</f>
        <v/>
      </c>
      <c r="H133" s="21"/>
      <c r="I133" s="21"/>
      <c r="J133" s="22"/>
      <c r="K133" s="21"/>
      <c r="L133" s="22"/>
      <c r="M133" s="25" t="str">
        <f aca="false">IF($K133="","",IFERROR(INDEX(Lists!$D$4:$D$14,MATCH($K133,Lists!$A$4:$A$14,0)),"Check stage"))</f>
        <v/>
      </c>
      <c r="N133" s="21"/>
      <c r="O133" s="21"/>
      <c r="P133" s="26"/>
      <c r="Q133" s="26"/>
      <c r="R133" s="21"/>
      <c r="S133" s="21"/>
      <c r="T133" s="22"/>
      <c r="U133" s="22"/>
      <c r="V133" s="24" t="str">
        <f aca="false">IF(OR(N($P133)=0,$Q133=""),"",$Q133/$P133-1)</f>
        <v/>
      </c>
      <c r="W133" s="25" t="str">
        <f aca="true">IF($J133="","",IF($M133="Active",TODAY(),IF($U133&lt;&gt;"",$U133,IF($L133&lt;&gt;"",$L133,TODAY())))-$J133)</f>
        <v/>
      </c>
      <c r="X133" s="25" t="str">
        <f aca="true">IF(OR($L133="",$M133&lt;&gt;"Active"),"",TODAY()-$L133)</f>
        <v/>
      </c>
      <c r="Y133" s="25" t="str">
        <f aca="false">IF($M133&lt;&gt;"Active","",INDEX(Lists!$C$4:$C$14,MATCH($K133,Lists!$A$4:$A$14,0)))</f>
        <v/>
      </c>
      <c r="Z133" s="25" t="str">
        <f aca="false">IF($B133="","",IF($M133&lt;&gt;"Active","Closed",IF($X133="","",IF($X133&gt;$Y133,"BREACH","On Track"))))</f>
        <v/>
      </c>
      <c r="AA133" s="25" t="str">
        <f aca="false">IF($K133="","",IFERROR(INDEX(Lists!$E$4:$E$14,MATCH($K133,Lists!$A$4:$A$14,0)),""))</f>
        <v/>
      </c>
      <c r="AB133" s="27" t="str">
        <f aca="false">IF($U133&lt;&gt;"",$U133,IF(OR($T133="",$M133&lt;&gt;"Active"),"",$T133+N($R133)))</f>
        <v/>
      </c>
      <c r="AC133" s="25" t="str">
        <f aca="false">IF(OR($T133="",$J133=""),"",$T133-$J133)</f>
        <v/>
      </c>
      <c r="AD133" s="25" t="str">
        <f aca="false">IF(AND($K133="Joined",$U133&lt;&gt;"",$J133&lt;&gt;""),$U133-$J133,"")</f>
        <v/>
      </c>
      <c r="AE133" s="25" t="str">
        <f aca="false">IF($K133="","",IF(OR($K133="Rejected",$K133="Withdrawn"),IFERROR(INDEX(Lists!$B$4:$B$14,MATCH($N133,Lists!$A$4:$A$14,0)),1),IFERROR(INDEX(Lists!$B$4:$B$14,MATCH($K133,Lists!$A$4:$A$14,0)),0)))</f>
        <v/>
      </c>
    </row>
    <row r="134" customFormat="false" ht="15" hidden="false" customHeight="false" outlineLevel="0" collapsed="false">
      <c r="A134" s="25" t="str">
        <f aca="false">IF($B134="","","C-"&amp;TEXT(ROW()-1,"0000"))</f>
        <v/>
      </c>
      <c r="B134" s="21"/>
      <c r="C134" s="21"/>
      <c r="D134" s="21"/>
      <c r="E134" s="21"/>
      <c r="F134" s="25" t="str">
        <f aca="false">IF($E134="","",IFERROR(INDEX(Requisitions!$B$2:$B$101,MATCH($E134,Requisitions!$A$2:$A$101,0)),"Unknown Req"))</f>
        <v/>
      </c>
      <c r="G134" s="25" t="str">
        <f aca="false">IF($E134="","",IFERROR(INDEX(Requisitions!$D$2:$D$101,MATCH($E134,Requisitions!$A$2:$A$101,0)),""))</f>
        <v/>
      </c>
      <c r="H134" s="21"/>
      <c r="I134" s="21"/>
      <c r="J134" s="22"/>
      <c r="K134" s="21"/>
      <c r="L134" s="22"/>
      <c r="M134" s="25" t="str">
        <f aca="false">IF($K134="","",IFERROR(INDEX(Lists!$D$4:$D$14,MATCH($K134,Lists!$A$4:$A$14,0)),"Check stage"))</f>
        <v/>
      </c>
      <c r="N134" s="21"/>
      <c r="O134" s="21"/>
      <c r="P134" s="26"/>
      <c r="Q134" s="26"/>
      <c r="R134" s="21"/>
      <c r="S134" s="21"/>
      <c r="T134" s="22"/>
      <c r="U134" s="22"/>
      <c r="V134" s="24" t="str">
        <f aca="false">IF(OR(N($P134)=0,$Q134=""),"",$Q134/$P134-1)</f>
        <v/>
      </c>
      <c r="W134" s="25" t="str">
        <f aca="true">IF($J134="","",IF($M134="Active",TODAY(),IF($U134&lt;&gt;"",$U134,IF($L134&lt;&gt;"",$L134,TODAY())))-$J134)</f>
        <v/>
      </c>
      <c r="X134" s="25" t="str">
        <f aca="true">IF(OR($L134="",$M134&lt;&gt;"Active"),"",TODAY()-$L134)</f>
        <v/>
      </c>
      <c r="Y134" s="25" t="str">
        <f aca="false">IF($M134&lt;&gt;"Active","",INDEX(Lists!$C$4:$C$14,MATCH($K134,Lists!$A$4:$A$14,0)))</f>
        <v/>
      </c>
      <c r="Z134" s="25" t="str">
        <f aca="false">IF($B134="","",IF($M134&lt;&gt;"Active","Closed",IF($X134="","",IF($X134&gt;$Y134,"BREACH","On Track"))))</f>
        <v/>
      </c>
      <c r="AA134" s="25" t="str">
        <f aca="false">IF($K134="","",IFERROR(INDEX(Lists!$E$4:$E$14,MATCH($K134,Lists!$A$4:$A$14,0)),""))</f>
        <v/>
      </c>
      <c r="AB134" s="27" t="str">
        <f aca="false">IF($U134&lt;&gt;"",$U134,IF(OR($T134="",$M134&lt;&gt;"Active"),"",$T134+N($R134)))</f>
        <v/>
      </c>
      <c r="AC134" s="25" t="str">
        <f aca="false">IF(OR($T134="",$J134=""),"",$T134-$J134)</f>
        <v/>
      </c>
      <c r="AD134" s="25" t="str">
        <f aca="false">IF(AND($K134="Joined",$U134&lt;&gt;"",$J134&lt;&gt;""),$U134-$J134,"")</f>
        <v/>
      </c>
      <c r="AE134" s="25" t="str">
        <f aca="false">IF($K134="","",IF(OR($K134="Rejected",$K134="Withdrawn"),IFERROR(INDEX(Lists!$B$4:$B$14,MATCH($N134,Lists!$A$4:$A$14,0)),1),IFERROR(INDEX(Lists!$B$4:$B$14,MATCH($K134,Lists!$A$4:$A$14,0)),0)))</f>
        <v/>
      </c>
    </row>
    <row r="135" customFormat="false" ht="15" hidden="false" customHeight="false" outlineLevel="0" collapsed="false">
      <c r="A135" s="25" t="str">
        <f aca="false">IF($B135="","","C-"&amp;TEXT(ROW()-1,"0000"))</f>
        <v/>
      </c>
      <c r="B135" s="21"/>
      <c r="C135" s="21"/>
      <c r="D135" s="21"/>
      <c r="E135" s="21"/>
      <c r="F135" s="25" t="str">
        <f aca="false">IF($E135="","",IFERROR(INDEX(Requisitions!$B$2:$B$101,MATCH($E135,Requisitions!$A$2:$A$101,0)),"Unknown Req"))</f>
        <v/>
      </c>
      <c r="G135" s="25" t="str">
        <f aca="false">IF($E135="","",IFERROR(INDEX(Requisitions!$D$2:$D$101,MATCH($E135,Requisitions!$A$2:$A$101,0)),""))</f>
        <v/>
      </c>
      <c r="H135" s="21"/>
      <c r="I135" s="21"/>
      <c r="J135" s="22"/>
      <c r="K135" s="21"/>
      <c r="L135" s="22"/>
      <c r="M135" s="25" t="str">
        <f aca="false">IF($K135="","",IFERROR(INDEX(Lists!$D$4:$D$14,MATCH($K135,Lists!$A$4:$A$14,0)),"Check stage"))</f>
        <v/>
      </c>
      <c r="N135" s="21"/>
      <c r="O135" s="21"/>
      <c r="P135" s="26"/>
      <c r="Q135" s="26"/>
      <c r="R135" s="21"/>
      <c r="S135" s="21"/>
      <c r="T135" s="22"/>
      <c r="U135" s="22"/>
      <c r="V135" s="24" t="str">
        <f aca="false">IF(OR(N($P135)=0,$Q135=""),"",$Q135/$P135-1)</f>
        <v/>
      </c>
      <c r="W135" s="25" t="str">
        <f aca="true">IF($J135="","",IF($M135="Active",TODAY(),IF($U135&lt;&gt;"",$U135,IF($L135&lt;&gt;"",$L135,TODAY())))-$J135)</f>
        <v/>
      </c>
      <c r="X135" s="25" t="str">
        <f aca="true">IF(OR($L135="",$M135&lt;&gt;"Active"),"",TODAY()-$L135)</f>
        <v/>
      </c>
      <c r="Y135" s="25" t="str">
        <f aca="false">IF($M135&lt;&gt;"Active","",INDEX(Lists!$C$4:$C$14,MATCH($K135,Lists!$A$4:$A$14,0)))</f>
        <v/>
      </c>
      <c r="Z135" s="25" t="str">
        <f aca="false">IF($B135="","",IF($M135&lt;&gt;"Active","Closed",IF($X135="","",IF($X135&gt;$Y135,"BREACH","On Track"))))</f>
        <v/>
      </c>
      <c r="AA135" s="25" t="str">
        <f aca="false">IF($K135="","",IFERROR(INDEX(Lists!$E$4:$E$14,MATCH($K135,Lists!$A$4:$A$14,0)),""))</f>
        <v/>
      </c>
      <c r="AB135" s="27" t="str">
        <f aca="false">IF($U135&lt;&gt;"",$U135,IF(OR($T135="",$M135&lt;&gt;"Active"),"",$T135+N($R135)))</f>
        <v/>
      </c>
      <c r="AC135" s="25" t="str">
        <f aca="false">IF(OR($T135="",$J135=""),"",$T135-$J135)</f>
        <v/>
      </c>
      <c r="AD135" s="25" t="str">
        <f aca="false">IF(AND($K135="Joined",$U135&lt;&gt;"",$J135&lt;&gt;""),$U135-$J135,"")</f>
        <v/>
      </c>
      <c r="AE135" s="25" t="str">
        <f aca="false">IF($K135="","",IF(OR($K135="Rejected",$K135="Withdrawn"),IFERROR(INDEX(Lists!$B$4:$B$14,MATCH($N135,Lists!$A$4:$A$14,0)),1),IFERROR(INDEX(Lists!$B$4:$B$14,MATCH($K135,Lists!$A$4:$A$14,0)),0)))</f>
        <v/>
      </c>
    </row>
    <row r="136" customFormat="false" ht="15" hidden="false" customHeight="false" outlineLevel="0" collapsed="false">
      <c r="A136" s="25" t="str">
        <f aca="false">IF($B136="","","C-"&amp;TEXT(ROW()-1,"0000"))</f>
        <v/>
      </c>
      <c r="B136" s="21"/>
      <c r="C136" s="21"/>
      <c r="D136" s="21"/>
      <c r="E136" s="21"/>
      <c r="F136" s="25" t="str">
        <f aca="false">IF($E136="","",IFERROR(INDEX(Requisitions!$B$2:$B$101,MATCH($E136,Requisitions!$A$2:$A$101,0)),"Unknown Req"))</f>
        <v/>
      </c>
      <c r="G136" s="25" t="str">
        <f aca="false">IF($E136="","",IFERROR(INDEX(Requisitions!$D$2:$D$101,MATCH($E136,Requisitions!$A$2:$A$101,0)),""))</f>
        <v/>
      </c>
      <c r="H136" s="21"/>
      <c r="I136" s="21"/>
      <c r="J136" s="22"/>
      <c r="K136" s="21"/>
      <c r="L136" s="22"/>
      <c r="M136" s="25" t="str">
        <f aca="false">IF($K136="","",IFERROR(INDEX(Lists!$D$4:$D$14,MATCH($K136,Lists!$A$4:$A$14,0)),"Check stage"))</f>
        <v/>
      </c>
      <c r="N136" s="21"/>
      <c r="O136" s="21"/>
      <c r="P136" s="26"/>
      <c r="Q136" s="26"/>
      <c r="R136" s="21"/>
      <c r="S136" s="21"/>
      <c r="T136" s="22"/>
      <c r="U136" s="22"/>
      <c r="V136" s="24" t="str">
        <f aca="false">IF(OR(N($P136)=0,$Q136=""),"",$Q136/$P136-1)</f>
        <v/>
      </c>
      <c r="W136" s="25" t="str">
        <f aca="true">IF($J136="","",IF($M136="Active",TODAY(),IF($U136&lt;&gt;"",$U136,IF($L136&lt;&gt;"",$L136,TODAY())))-$J136)</f>
        <v/>
      </c>
      <c r="X136" s="25" t="str">
        <f aca="true">IF(OR($L136="",$M136&lt;&gt;"Active"),"",TODAY()-$L136)</f>
        <v/>
      </c>
      <c r="Y136" s="25" t="str">
        <f aca="false">IF($M136&lt;&gt;"Active","",INDEX(Lists!$C$4:$C$14,MATCH($K136,Lists!$A$4:$A$14,0)))</f>
        <v/>
      </c>
      <c r="Z136" s="25" t="str">
        <f aca="false">IF($B136="","",IF($M136&lt;&gt;"Active","Closed",IF($X136="","",IF($X136&gt;$Y136,"BREACH","On Track"))))</f>
        <v/>
      </c>
      <c r="AA136" s="25" t="str">
        <f aca="false">IF($K136="","",IFERROR(INDEX(Lists!$E$4:$E$14,MATCH($K136,Lists!$A$4:$A$14,0)),""))</f>
        <v/>
      </c>
      <c r="AB136" s="27" t="str">
        <f aca="false">IF($U136&lt;&gt;"",$U136,IF(OR($T136="",$M136&lt;&gt;"Active"),"",$T136+N($R136)))</f>
        <v/>
      </c>
      <c r="AC136" s="25" t="str">
        <f aca="false">IF(OR($T136="",$J136=""),"",$T136-$J136)</f>
        <v/>
      </c>
      <c r="AD136" s="25" t="str">
        <f aca="false">IF(AND($K136="Joined",$U136&lt;&gt;"",$J136&lt;&gt;""),$U136-$J136,"")</f>
        <v/>
      </c>
      <c r="AE136" s="25" t="str">
        <f aca="false">IF($K136="","",IF(OR($K136="Rejected",$K136="Withdrawn"),IFERROR(INDEX(Lists!$B$4:$B$14,MATCH($N136,Lists!$A$4:$A$14,0)),1),IFERROR(INDEX(Lists!$B$4:$B$14,MATCH($K136,Lists!$A$4:$A$14,0)),0)))</f>
        <v/>
      </c>
    </row>
    <row r="137" customFormat="false" ht="15" hidden="false" customHeight="false" outlineLevel="0" collapsed="false">
      <c r="A137" s="25" t="str">
        <f aca="false">IF($B137="","","C-"&amp;TEXT(ROW()-1,"0000"))</f>
        <v/>
      </c>
      <c r="B137" s="21"/>
      <c r="C137" s="21"/>
      <c r="D137" s="21"/>
      <c r="E137" s="21"/>
      <c r="F137" s="25" t="str">
        <f aca="false">IF($E137="","",IFERROR(INDEX(Requisitions!$B$2:$B$101,MATCH($E137,Requisitions!$A$2:$A$101,0)),"Unknown Req"))</f>
        <v/>
      </c>
      <c r="G137" s="25" t="str">
        <f aca="false">IF($E137="","",IFERROR(INDEX(Requisitions!$D$2:$D$101,MATCH($E137,Requisitions!$A$2:$A$101,0)),""))</f>
        <v/>
      </c>
      <c r="H137" s="21"/>
      <c r="I137" s="21"/>
      <c r="J137" s="22"/>
      <c r="K137" s="21"/>
      <c r="L137" s="22"/>
      <c r="M137" s="25" t="str">
        <f aca="false">IF($K137="","",IFERROR(INDEX(Lists!$D$4:$D$14,MATCH($K137,Lists!$A$4:$A$14,0)),"Check stage"))</f>
        <v/>
      </c>
      <c r="N137" s="21"/>
      <c r="O137" s="21"/>
      <c r="P137" s="26"/>
      <c r="Q137" s="26"/>
      <c r="R137" s="21"/>
      <c r="S137" s="21"/>
      <c r="T137" s="22"/>
      <c r="U137" s="22"/>
      <c r="V137" s="24" t="str">
        <f aca="false">IF(OR(N($P137)=0,$Q137=""),"",$Q137/$P137-1)</f>
        <v/>
      </c>
      <c r="W137" s="25" t="str">
        <f aca="true">IF($J137="","",IF($M137="Active",TODAY(),IF($U137&lt;&gt;"",$U137,IF($L137&lt;&gt;"",$L137,TODAY())))-$J137)</f>
        <v/>
      </c>
      <c r="X137" s="25" t="str">
        <f aca="true">IF(OR($L137="",$M137&lt;&gt;"Active"),"",TODAY()-$L137)</f>
        <v/>
      </c>
      <c r="Y137" s="25" t="str">
        <f aca="false">IF($M137&lt;&gt;"Active","",INDEX(Lists!$C$4:$C$14,MATCH($K137,Lists!$A$4:$A$14,0)))</f>
        <v/>
      </c>
      <c r="Z137" s="25" t="str">
        <f aca="false">IF($B137="","",IF($M137&lt;&gt;"Active","Closed",IF($X137="","",IF($X137&gt;$Y137,"BREACH","On Track"))))</f>
        <v/>
      </c>
      <c r="AA137" s="25" t="str">
        <f aca="false">IF($K137="","",IFERROR(INDEX(Lists!$E$4:$E$14,MATCH($K137,Lists!$A$4:$A$14,0)),""))</f>
        <v/>
      </c>
      <c r="AB137" s="27" t="str">
        <f aca="false">IF($U137&lt;&gt;"",$U137,IF(OR($T137="",$M137&lt;&gt;"Active"),"",$T137+N($R137)))</f>
        <v/>
      </c>
      <c r="AC137" s="25" t="str">
        <f aca="false">IF(OR($T137="",$J137=""),"",$T137-$J137)</f>
        <v/>
      </c>
      <c r="AD137" s="25" t="str">
        <f aca="false">IF(AND($K137="Joined",$U137&lt;&gt;"",$J137&lt;&gt;""),$U137-$J137,"")</f>
        <v/>
      </c>
      <c r="AE137" s="25" t="str">
        <f aca="false">IF($K137="","",IF(OR($K137="Rejected",$K137="Withdrawn"),IFERROR(INDEX(Lists!$B$4:$B$14,MATCH($N137,Lists!$A$4:$A$14,0)),1),IFERROR(INDEX(Lists!$B$4:$B$14,MATCH($K137,Lists!$A$4:$A$14,0)),0)))</f>
        <v/>
      </c>
    </row>
    <row r="138" customFormat="false" ht="15" hidden="false" customHeight="false" outlineLevel="0" collapsed="false">
      <c r="A138" s="25" t="str">
        <f aca="false">IF($B138="","","C-"&amp;TEXT(ROW()-1,"0000"))</f>
        <v/>
      </c>
      <c r="B138" s="21"/>
      <c r="C138" s="21"/>
      <c r="D138" s="21"/>
      <c r="E138" s="21"/>
      <c r="F138" s="25" t="str">
        <f aca="false">IF($E138="","",IFERROR(INDEX(Requisitions!$B$2:$B$101,MATCH($E138,Requisitions!$A$2:$A$101,0)),"Unknown Req"))</f>
        <v/>
      </c>
      <c r="G138" s="25" t="str">
        <f aca="false">IF($E138="","",IFERROR(INDEX(Requisitions!$D$2:$D$101,MATCH($E138,Requisitions!$A$2:$A$101,0)),""))</f>
        <v/>
      </c>
      <c r="H138" s="21"/>
      <c r="I138" s="21"/>
      <c r="J138" s="22"/>
      <c r="K138" s="21"/>
      <c r="L138" s="22"/>
      <c r="M138" s="25" t="str">
        <f aca="false">IF($K138="","",IFERROR(INDEX(Lists!$D$4:$D$14,MATCH($K138,Lists!$A$4:$A$14,0)),"Check stage"))</f>
        <v/>
      </c>
      <c r="N138" s="21"/>
      <c r="O138" s="21"/>
      <c r="P138" s="26"/>
      <c r="Q138" s="26"/>
      <c r="R138" s="21"/>
      <c r="S138" s="21"/>
      <c r="T138" s="22"/>
      <c r="U138" s="22"/>
      <c r="V138" s="24" t="str">
        <f aca="false">IF(OR(N($P138)=0,$Q138=""),"",$Q138/$P138-1)</f>
        <v/>
      </c>
      <c r="W138" s="25" t="str">
        <f aca="true">IF($J138="","",IF($M138="Active",TODAY(),IF($U138&lt;&gt;"",$U138,IF($L138&lt;&gt;"",$L138,TODAY())))-$J138)</f>
        <v/>
      </c>
      <c r="X138" s="25" t="str">
        <f aca="true">IF(OR($L138="",$M138&lt;&gt;"Active"),"",TODAY()-$L138)</f>
        <v/>
      </c>
      <c r="Y138" s="25" t="str">
        <f aca="false">IF($M138&lt;&gt;"Active","",INDEX(Lists!$C$4:$C$14,MATCH($K138,Lists!$A$4:$A$14,0)))</f>
        <v/>
      </c>
      <c r="Z138" s="25" t="str">
        <f aca="false">IF($B138="","",IF($M138&lt;&gt;"Active","Closed",IF($X138="","",IF($X138&gt;$Y138,"BREACH","On Track"))))</f>
        <v/>
      </c>
      <c r="AA138" s="25" t="str">
        <f aca="false">IF($K138="","",IFERROR(INDEX(Lists!$E$4:$E$14,MATCH($K138,Lists!$A$4:$A$14,0)),""))</f>
        <v/>
      </c>
      <c r="AB138" s="27" t="str">
        <f aca="false">IF($U138&lt;&gt;"",$U138,IF(OR($T138="",$M138&lt;&gt;"Active"),"",$T138+N($R138)))</f>
        <v/>
      </c>
      <c r="AC138" s="25" t="str">
        <f aca="false">IF(OR($T138="",$J138=""),"",$T138-$J138)</f>
        <v/>
      </c>
      <c r="AD138" s="25" t="str">
        <f aca="false">IF(AND($K138="Joined",$U138&lt;&gt;"",$J138&lt;&gt;""),$U138-$J138,"")</f>
        <v/>
      </c>
      <c r="AE138" s="25" t="str">
        <f aca="false">IF($K138="","",IF(OR($K138="Rejected",$K138="Withdrawn"),IFERROR(INDEX(Lists!$B$4:$B$14,MATCH($N138,Lists!$A$4:$A$14,0)),1),IFERROR(INDEX(Lists!$B$4:$B$14,MATCH($K138,Lists!$A$4:$A$14,0)),0)))</f>
        <v/>
      </c>
    </row>
    <row r="139" customFormat="false" ht="15" hidden="false" customHeight="false" outlineLevel="0" collapsed="false">
      <c r="A139" s="25" t="str">
        <f aca="false">IF($B139="","","C-"&amp;TEXT(ROW()-1,"0000"))</f>
        <v/>
      </c>
      <c r="B139" s="21"/>
      <c r="C139" s="21"/>
      <c r="D139" s="21"/>
      <c r="E139" s="21"/>
      <c r="F139" s="25" t="str">
        <f aca="false">IF($E139="","",IFERROR(INDEX(Requisitions!$B$2:$B$101,MATCH($E139,Requisitions!$A$2:$A$101,0)),"Unknown Req"))</f>
        <v/>
      </c>
      <c r="G139" s="25" t="str">
        <f aca="false">IF($E139="","",IFERROR(INDEX(Requisitions!$D$2:$D$101,MATCH($E139,Requisitions!$A$2:$A$101,0)),""))</f>
        <v/>
      </c>
      <c r="H139" s="21"/>
      <c r="I139" s="21"/>
      <c r="J139" s="22"/>
      <c r="K139" s="21"/>
      <c r="L139" s="22"/>
      <c r="M139" s="25" t="str">
        <f aca="false">IF($K139="","",IFERROR(INDEX(Lists!$D$4:$D$14,MATCH($K139,Lists!$A$4:$A$14,0)),"Check stage"))</f>
        <v/>
      </c>
      <c r="N139" s="21"/>
      <c r="O139" s="21"/>
      <c r="P139" s="26"/>
      <c r="Q139" s="26"/>
      <c r="R139" s="21"/>
      <c r="S139" s="21"/>
      <c r="T139" s="22"/>
      <c r="U139" s="22"/>
      <c r="V139" s="24" t="str">
        <f aca="false">IF(OR(N($P139)=0,$Q139=""),"",$Q139/$P139-1)</f>
        <v/>
      </c>
      <c r="W139" s="25" t="str">
        <f aca="true">IF($J139="","",IF($M139="Active",TODAY(),IF($U139&lt;&gt;"",$U139,IF($L139&lt;&gt;"",$L139,TODAY())))-$J139)</f>
        <v/>
      </c>
      <c r="X139" s="25" t="str">
        <f aca="true">IF(OR($L139="",$M139&lt;&gt;"Active"),"",TODAY()-$L139)</f>
        <v/>
      </c>
      <c r="Y139" s="25" t="str">
        <f aca="false">IF($M139&lt;&gt;"Active","",INDEX(Lists!$C$4:$C$14,MATCH($K139,Lists!$A$4:$A$14,0)))</f>
        <v/>
      </c>
      <c r="Z139" s="25" t="str">
        <f aca="false">IF($B139="","",IF($M139&lt;&gt;"Active","Closed",IF($X139="","",IF($X139&gt;$Y139,"BREACH","On Track"))))</f>
        <v/>
      </c>
      <c r="AA139" s="25" t="str">
        <f aca="false">IF($K139="","",IFERROR(INDEX(Lists!$E$4:$E$14,MATCH($K139,Lists!$A$4:$A$14,0)),""))</f>
        <v/>
      </c>
      <c r="AB139" s="27" t="str">
        <f aca="false">IF($U139&lt;&gt;"",$U139,IF(OR($T139="",$M139&lt;&gt;"Active"),"",$T139+N($R139)))</f>
        <v/>
      </c>
      <c r="AC139" s="25" t="str">
        <f aca="false">IF(OR($T139="",$J139=""),"",$T139-$J139)</f>
        <v/>
      </c>
      <c r="AD139" s="25" t="str">
        <f aca="false">IF(AND($K139="Joined",$U139&lt;&gt;"",$J139&lt;&gt;""),$U139-$J139,"")</f>
        <v/>
      </c>
      <c r="AE139" s="25" t="str">
        <f aca="false">IF($K139="","",IF(OR($K139="Rejected",$K139="Withdrawn"),IFERROR(INDEX(Lists!$B$4:$B$14,MATCH($N139,Lists!$A$4:$A$14,0)),1),IFERROR(INDEX(Lists!$B$4:$B$14,MATCH($K139,Lists!$A$4:$A$14,0)),0)))</f>
        <v/>
      </c>
    </row>
    <row r="140" customFormat="false" ht="15" hidden="false" customHeight="false" outlineLevel="0" collapsed="false">
      <c r="A140" s="25" t="str">
        <f aca="false">IF($B140="","","C-"&amp;TEXT(ROW()-1,"0000"))</f>
        <v/>
      </c>
      <c r="B140" s="21"/>
      <c r="C140" s="21"/>
      <c r="D140" s="21"/>
      <c r="E140" s="21"/>
      <c r="F140" s="25" t="str">
        <f aca="false">IF($E140="","",IFERROR(INDEX(Requisitions!$B$2:$B$101,MATCH($E140,Requisitions!$A$2:$A$101,0)),"Unknown Req"))</f>
        <v/>
      </c>
      <c r="G140" s="25" t="str">
        <f aca="false">IF($E140="","",IFERROR(INDEX(Requisitions!$D$2:$D$101,MATCH($E140,Requisitions!$A$2:$A$101,0)),""))</f>
        <v/>
      </c>
      <c r="H140" s="21"/>
      <c r="I140" s="21"/>
      <c r="J140" s="22"/>
      <c r="K140" s="21"/>
      <c r="L140" s="22"/>
      <c r="M140" s="25" t="str">
        <f aca="false">IF($K140="","",IFERROR(INDEX(Lists!$D$4:$D$14,MATCH($K140,Lists!$A$4:$A$14,0)),"Check stage"))</f>
        <v/>
      </c>
      <c r="N140" s="21"/>
      <c r="O140" s="21"/>
      <c r="P140" s="26"/>
      <c r="Q140" s="26"/>
      <c r="R140" s="21"/>
      <c r="S140" s="21"/>
      <c r="T140" s="22"/>
      <c r="U140" s="22"/>
      <c r="V140" s="24" t="str">
        <f aca="false">IF(OR(N($P140)=0,$Q140=""),"",$Q140/$P140-1)</f>
        <v/>
      </c>
      <c r="W140" s="25" t="str">
        <f aca="true">IF($J140="","",IF($M140="Active",TODAY(),IF($U140&lt;&gt;"",$U140,IF($L140&lt;&gt;"",$L140,TODAY())))-$J140)</f>
        <v/>
      </c>
      <c r="X140" s="25" t="str">
        <f aca="true">IF(OR($L140="",$M140&lt;&gt;"Active"),"",TODAY()-$L140)</f>
        <v/>
      </c>
      <c r="Y140" s="25" t="str">
        <f aca="false">IF($M140&lt;&gt;"Active","",INDEX(Lists!$C$4:$C$14,MATCH($K140,Lists!$A$4:$A$14,0)))</f>
        <v/>
      </c>
      <c r="Z140" s="25" t="str">
        <f aca="false">IF($B140="","",IF($M140&lt;&gt;"Active","Closed",IF($X140="","",IF($X140&gt;$Y140,"BREACH","On Track"))))</f>
        <v/>
      </c>
      <c r="AA140" s="25" t="str">
        <f aca="false">IF($K140="","",IFERROR(INDEX(Lists!$E$4:$E$14,MATCH($K140,Lists!$A$4:$A$14,0)),""))</f>
        <v/>
      </c>
      <c r="AB140" s="27" t="str">
        <f aca="false">IF($U140&lt;&gt;"",$U140,IF(OR($T140="",$M140&lt;&gt;"Active"),"",$T140+N($R140)))</f>
        <v/>
      </c>
      <c r="AC140" s="25" t="str">
        <f aca="false">IF(OR($T140="",$J140=""),"",$T140-$J140)</f>
        <v/>
      </c>
      <c r="AD140" s="25" t="str">
        <f aca="false">IF(AND($K140="Joined",$U140&lt;&gt;"",$J140&lt;&gt;""),$U140-$J140,"")</f>
        <v/>
      </c>
      <c r="AE140" s="25" t="str">
        <f aca="false">IF($K140="","",IF(OR($K140="Rejected",$K140="Withdrawn"),IFERROR(INDEX(Lists!$B$4:$B$14,MATCH($N140,Lists!$A$4:$A$14,0)),1),IFERROR(INDEX(Lists!$B$4:$B$14,MATCH($K140,Lists!$A$4:$A$14,0)),0)))</f>
        <v/>
      </c>
    </row>
    <row r="141" customFormat="false" ht="15" hidden="false" customHeight="false" outlineLevel="0" collapsed="false">
      <c r="A141" s="25" t="str">
        <f aca="false">IF($B141="","","C-"&amp;TEXT(ROW()-1,"0000"))</f>
        <v/>
      </c>
      <c r="B141" s="21"/>
      <c r="C141" s="21"/>
      <c r="D141" s="21"/>
      <c r="E141" s="21"/>
      <c r="F141" s="25" t="str">
        <f aca="false">IF($E141="","",IFERROR(INDEX(Requisitions!$B$2:$B$101,MATCH($E141,Requisitions!$A$2:$A$101,0)),"Unknown Req"))</f>
        <v/>
      </c>
      <c r="G141" s="25" t="str">
        <f aca="false">IF($E141="","",IFERROR(INDEX(Requisitions!$D$2:$D$101,MATCH($E141,Requisitions!$A$2:$A$101,0)),""))</f>
        <v/>
      </c>
      <c r="H141" s="21"/>
      <c r="I141" s="21"/>
      <c r="J141" s="22"/>
      <c r="K141" s="21"/>
      <c r="L141" s="22"/>
      <c r="M141" s="25" t="str">
        <f aca="false">IF($K141="","",IFERROR(INDEX(Lists!$D$4:$D$14,MATCH($K141,Lists!$A$4:$A$14,0)),"Check stage"))</f>
        <v/>
      </c>
      <c r="N141" s="21"/>
      <c r="O141" s="21"/>
      <c r="P141" s="26"/>
      <c r="Q141" s="26"/>
      <c r="R141" s="21"/>
      <c r="S141" s="21"/>
      <c r="T141" s="22"/>
      <c r="U141" s="22"/>
      <c r="V141" s="24" t="str">
        <f aca="false">IF(OR(N($P141)=0,$Q141=""),"",$Q141/$P141-1)</f>
        <v/>
      </c>
      <c r="W141" s="25" t="str">
        <f aca="true">IF($J141="","",IF($M141="Active",TODAY(),IF($U141&lt;&gt;"",$U141,IF($L141&lt;&gt;"",$L141,TODAY())))-$J141)</f>
        <v/>
      </c>
      <c r="X141" s="25" t="str">
        <f aca="true">IF(OR($L141="",$M141&lt;&gt;"Active"),"",TODAY()-$L141)</f>
        <v/>
      </c>
      <c r="Y141" s="25" t="str">
        <f aca="false">IF($M141&lt;&gt;"Active","",INDEX(Lists!$C$4:$C$14,MATCH($K141,Lists!$A$4:$A$14,0)))</f>
        <v/>
      </c>
      <c r="Z141" s="25" t="str">
        <f aca="false">IF($B141="","",IF($M141&lt;&gt;"Active","Closed",IF($X141="","",IF($X141&gt;$Y141,"BREACH","On Track"))))</f>
        <v/>
      </c>
      <c r="AA141" s="25" t="str">
        <f aca="false">IF($K141="","",IFERROR(INDEX(Lists!$E$4:$E$14,MATCH($K141,Lists!$A$4:$A$14,0)),""))</f>
        <v/>
      </c>
      <c r="AB141" s="27" t="str">
        <f aca="false">IF($U141&lt;&gt;"",$U141,IF(OR($T141="",$M141&lt;&gt;"Active"),"",$T141+N($R141)))</f>
        <v/>
      </c>
      <c r="AC141" s="25" t="str">
        <f aca="false">IF(OR($T141="",$J141=""),"",$T141-$J141)</f>
        <v/>
      </c>
      <c r="AD141" s="25" t="str">
        <f aca="false">IF(AND($K141="Joined",$U141&lt;&gt;"",$J141&lt;&gt;""),$U141-$J141,"")</f>
        <v/>
      </c>
      <c r="AE141" s="25" t="str">
        <f aca="false">IF($K141="","",IF(OR($K141="Rejected",$K141="Withdrawn"),IFERROR(INDEX(Lists!$B$4:$B$14,MATCH($N141,Lists!$A$4:$A$14,0)),1),IFERROR(INDEX(Lists!$B$4:$B$14,MATCH($K141,Lists!$A$4:$A$14,0)),0)))</f>
        <v/>
      </c>
    </row>
    <row r="142" customFormat="false" ht="15" hidden="false" customHeight="false" outlineLevel="0" collapsed="false">
      <c r="A142" s="25" t="str">
        <f aca="false">IF($B142="","","C-"&amp;TEXT(ROW()-1,"0000"))</f>
        <v/>
      </c>
      <c r="B142" s="21"/>
      <c r="C142" s="21"/>
      <c r="D142" s="21"/>
      <c r="E142" s="21"/>
      <c r="F142" s="25" t="str">
        <f aca="false">IF($E142="","",IFERROR(INDEX(Requisitions!$B$2:$B$101,MATCH($E142,Requisitions!$A$2:$A$101,0)),"Unknown Req"))</f>
        <v/>
      </c>
      <c r="G142" s="25" t="str">
        <f aca="false">IF($E142="","",IFERROR(INDEX(Requisitions!$D$2:$D$101,MATCH($E142,Requisitions!$A$2:$A$101,0)),""))</f>
        <v/>
      </c>
      <c r="H142" s="21"/>
      <c r="I142" s="21"/>
      <c r="J142" s="22"/>
      <c r="K142" s="21"/>
      <c r="L142" s="22"/>
      <c r="M142" s="25" t="str">
        <f aca="false">IF($K142="","",IFERROR(INDEX(Lists!$D$4:$D$14,MATCH($K142,Lists!$A$4:$A$14,0)),"Check stage"))</f>
        <v/>
      </c>
      <c r="N142" s="21"/>
      <c r="O142" s="21"/>
      <c r="P142" s="26"/>
      <c r="Q142" s="26"/>
      <c r="R142" s="21"/>
      <c r="S142" s="21"/>
      <c r="T142" s="22"/>
      <c r="U142" s="22"/>
      <c r="V142" s="24" t="str">
        <f aca="false">IF(OR(N($P142)=0,$Q142=""),"",$Q142/$P142-1)</f>
        <v/>
      </c>
      <c r="W142" s="25" t="str">
        <f aca="true">IF($J142="","",IF($M142="Active",TODAY(),IF($U142&lt;&gt;"",$U142,IF($L142&lt;&gt;"",$L142,TODAY())))-$J142)</f>
        <v/>
      </c>
      <c r="X142" s="25" t="str">
        <f aca="true">IF(OR($L142="",$M142&lt;&gt;"Active"),"",TODAY()-$L142)</f>
        <v/>
      </c>
      <c r="Y142" s="25" t="str">
        <f aca="false">IF($M142&lt;&gt;"Active","",INDEX(Lists!$C$4:$C$14,MATCH($K142,Lists!$A$4:$A$14,0)))</f>
        <v/>
      </c>
      <c r="Z142" s="25" t="str">
        <f aca="false">IF($B142="","",IF($M142&lt;&gt;"Active","Closed",IF($X142="","",IF($X142&gt;$Y142,"BREACH","On Track"))))</f>
        <v/>
      </c>
      <c r="AA142" s="25" t="str">
        <f aca="false">IF($K142="","",IFERROR(INDEX(Lists!$E$4:$E$14,MATCH($K142,Lists!$A$4:$A$14,0)),""))</f>
        <v/>
      </c>
      <c r="AB142" s="27" t="str">
        <f aca="false">IF($U142&lt;&gt;"",$U142,IF(OR($T142="",$M142&lt;&gt;"Active"),"",$T142+N($R142)))</f>
        <v/>
      </c>
      <c r="AC142" s="25" t="str">
        <f aca="false">IF(OR($T142="",$J142=""),"",$T142-$J142)</f>
        <v/>
      </c>
      <c r="AD142" s="25" t="str">
        <f aca="false">IF(AND($K142="Joined",$U142&lt;&gt;"",$J142&lt;&gt;""),$U142-$J142,"")</f>
        <v/>
      </c>
      <c r="AE142" s="25" t="str">
        <f aca="false">IF($K142="","",IF(OR($K142="Rejected",$K142="Withdrawn"),IFERROR(INDEX(Lists!$B$4:$B$14,MATCH($N142,Lists!$A$4:$A$14,0)),1),IFERROR(INDEX(Lists!$B$4:$B$14,MATCH($K142,Lists!$A$4:$A$14,0)),0)))</f>
        <v/>
      </c>
    </row>
    <row r="143" customFormat="false" ht="15" hidden="false" customHeight="false" outlineLevel="0" collapsed="false">
      <c r="A143" s="25" t="str">
        <f aca="false">IF($B143="","","C-"&amp;TEXT(ROW()-1,"0000"))</f>
        <v/>
      </c>
      <c r="B143" s="21"/>
      <c r="C143" s="21"/>
      <c r="D143" s="21"/>
      <c r="E143" s="21"/>
      <c r="F143" s="25" t="str">
        <f aca="false">IF($E143="","",IFERROR(INDEX(Requisitions!$B$2:$B$101,MATCH($E143,Requisitions!$A$2:$A$101,0)),"Unknown Req"))</f>
        <v/>
      </c>
      <c r="G143" s="25" t="str">
        <f aca="false">IF($E143="","",IFERROR(INDEX(Requisitions!$D$2:$D$101,MATCH($E143,Requisitions!$A$2:$A$101,0)),""))</f>
        <v/>
      </c>
      <c r="H143" s="21"/>
      <c r="I143" s="21"/>
      <c r="J143" s="22"/>
      <c r="K143" s="21"/>
      <c r="L143" s="22"/>
      <c r="M143" s="25" t="str">
        <f aca="false">IF($K143="","",IFERROR(INDEX(Lists!$D$4:$D$14,MATCH($K143,Lists!$A$4:$A$14,0)),"Check stage"))</f>
        <v/>
      </c>
      <c r="N143" s="21"/>
      <c r="O143" s="21"/>
      <c r="P143" s="26"/>
      <c r="Q143" s="26"/>
      <c r="R143" s="21"/>
      <c r="S143" s="21"/>
      <c r="T143" s="22"/>
      <c r="U143" s="22"/>
      <c r="V143" s="24" t="str">
        <f aca="false">IF(OR(N($P143)=0,$Q143=""),"",$Q143/$P143-1)</f>
        <v/>
      </c>
      <c r="W143" s="25" t="str">
        <f aca="true">IF($J143="","",IF($M143="Active",TODAY(),IF($U143&lt;&gt;"",$U143,IF($L143&lt;&gt;"",$L143,TODAY())))-$J143)</f>
        <v/>
      </c>
      <c r="X143" s="25" t="str">
        <f aca="true">IF(OR($L143="",$M143&lt;&gt;"Active"),"",TODAY()-$L143)</f>
        <v/>
      </c>
      <c r="Y143" s="25" t="str">
        <f aca="false">IF($M143&lt;&gt;"Active","",INDEX(Lists!$C$4:$C$14,MATCH($K143,Lists!$A$4:$A$14,0)))</f>
        <v/>
      </c>
      <c r="Z143" s="25" t="str">
        <f aca="false">IF($B143="","",IF($M143&lt;&gt;"Active","Closed",IF($X143="","",IF($X143&gt;$Y143,"BREACH","On Track"))))</f>
        <v/>
      </c>
      <c r="AA143" s="25" t="str">
        <f aca="false">IF($K143="","",IFERROR(INDEX(Lists!$E$4:$E$14,MATCH($K143,Lists!$A$4:$A$14,0)),""))</f>
        <v/>
      </c>
      <c r="AB143" s="27" t="str">
        <f aca="false">IF($U143&lt;&gt;"",$U143,IF(OR($T143="",$M143&lt;&gt;"Active"),"",$T143+N($R143)))</f>
        <v/>
      </c>
      <c r="AC143" s="25" t="str">
        <f aca="false">IF(OR($T143="",$J143=""),"",$T143-$J143)</f>
        <v/>
      </c>
      <c r="AD143" s="25" t="str">
        <f aca="false">IF(AND($K143="Joined",$U143&lt;&gt;"",$J143&lt;&gt;""),$U143-$J143,"")</f>
        <v/>
      </c>
      <c r="AE143" s="25" t="str">
        <f aca="false">IF($K143="","",IF(OR($K143="Rejected",$K143="Withdrawn"),IFERROR(INDEX(Lists!$B$4:$B$14,MATCH($N143,Lists!$A$4:$A$14,0)),1),IFERROR(INDEX(Lists!$B$4:$B$14,MATCH($K143,Lists!$A$4:$A$14,0)),0)))</f>
        <v/>
      </c>
    </row>
    <row r="144" customFormat="false" ht="15" hidden="false" customHeight="false" outlineLevel="0" collapsed="false">
      <c r="A144" s="25" t="str">
        <f aca="false">IF($B144="","","C-"&amp;TEXT(ROW()-1,"0000"))</f>
        <v/>
      </c>
      <c r="B144" s="21"/>
      <c r="C144" s="21"/>
      <c r="D144" s="21"/>
      <c r="E144" s="21"/>
      <c r="F144" s="25" t="str">
        <f aca="false">IF($E144="","",IFERROR(INDEX(Requisitions!$B$2:$B$101,MATCH($E144,Requisitions!$A$2:$A$101,0)),"Unknown Req"))</f>
        <v/>
      </c>
      <c r="G144" s="25" t="str">
        <f aca="false">IF($E144="","",IFERROR(INDEX(Requisitions!$D$2:$D$101,MATCH($E144,Requisitions!$A$2:$A$101,0)),""))</f>
        <v/>
      </c>
      <c r="H144" s="21"/>
      <c r="I144" s="21"/>
      <c r="J144" s="22"/>
      <c r="K144" s="21"/>
      <c r="L144" s="22"/>
      <c r="M144" s="25" t="str">
        <f aca="false">IF($K144="","",IFERROR(INDEX(Lists!$D$4:$D$14,MATCH($K144,Lists!$A$4:$A$14,0)),"Check stage"))</f>
        <v/>
      </c>
      <c r="N144" s="21"/>
      <c r="O144" s="21"/>
      <c r="P144" s="26"/>
      <c r="Q144" s="26"/>
      <c r="R144" s="21"/>
      <c r="S144" s="21"/>
      <c r="T144" s="22"/>
      <c r="U144" s="22"/>
      <c r="V144" s="24" t="str">
        <f aca="false">IF(OR(N($P144)=0,$Q144=""),"",$Q144/$P144-1)</f>
        <v/>
      </c>
      <c r="W144" s="25" t="str">
        <f aca="true">IF($J144="","",IF($M144="Active",TODAY(),IF($U144&lt;&gt;"",$U144,IF($L144&lt;&gt;"",$L144,TODAY())))-$J144)</f>
        <v/>
      </c>
      <c r="X144" s="25" t="str">
        <f aca="true">IF(OR($L144="",$M144&lt;&gt;"Active"),"",TODAY()-$L144)</f>
        <v/>
      </c>
      <c r="Y144" s="25" t="str">
        <f aca="false">IF($M144&lt;&gt;"Active","",INDEX(Lists!$C$4:$C$14,MATCH($K144,Lists!$A$4:$A$14,0)))</f>
        <v/>
      </c>
      <c r="Z144" s="25" t="str">
        <f aca="false">IF($B144="","",IF($M144&lt;&gt;"Active","Closed",IF($X144="","",IF($X144&gt;$Y144,"BREACH","On Track"))))</f>
        <v/>
      </c>
      <c r="AA144" s="25" t="str">
        <f aca="false">IF($K144="","",IFERROR(INDEX(Lists!$E$4:$E$14,MATCH($K144,Lists!$A$4:$A$14,0)),""))</f>
        <v/>
      </c>
      <c r="AB144" s="27" t="str">
        <f aca="false">IF($U144&lt;&gt;"",$U144,IF(OR($T144="",$M144&lt;&gt;"Active"),"",$T144+N($R144)))</f>
        <v/>
      </c>
      <c r="AC144" s="25" t="str">
        <f aca="false">IF(OR($T144="",$J144=""),"",$T144-$J144)</f>
        <v/>
      </c>
      <c r="AD144" s="25" t="str">
        <f aca="false">IF(AND($K144="Joined",$U144&lt;&gt;"",$J144&lt;&gt;""),$U144-$J144,"")</f>
        <v/>
      </c>
      <c r="AE144" s="25" t="str">
        <f aca="false">IF($K144="","",IF(OR($K144="Rejected",$K144="Withdrawn"),IFERROR(INDEX(Lists!$B$4:$B$14,MATCH($N144,Lists!$A$4:$A$14,0)),1),IFERROR(INDEX(Lists!$B$4:$B$14,MATCH($K144,Lists!$A$4:$A$14,0)),0)))</f>
        <v/>
      </c>
    </row>
    <row r="145" customFormat="false" ht="15" hidden="false" customHeight="false" outlineLevel="0" collapsed="false">
      <c r="A145" s="25" t="str">
        <f aca="false">IF($B145="","","C-"&amp;TEXT(ROW()-1,"0000"))</f>
        <v/>
      </c>
      <c r="B145" s="21"/>
      <c r="C145" s="21"/>
      <c r="D145" s="21"/>
      <c r="E145" s="21"/>
      <c r="F145" s="25" t="str">
        <f aca="false">IF($E145="","",IFERROR(INDEX(Requisitions!$B$2:$B$101,MATCH($E145,Requisitions!$A$2:$A$101,0)),"Unknown Req"))</f>
        <v/>
      </c>
      <c r="G145" s="25" t="str">
        <f aca="false">IF($E145="","",IFERROR(INDEX(Requisitions!$D$2:$D$101,MATCH($E145,Requisitions!$A$2:$A$101,0)),""))</f>
        <v/>
      </c>
      <c r="H145" s="21"/>
      <c r="I145" s="21"/>
      <c r="J145" s="22"/>
      <c r="K145" s="21"/>
      <c r="L145" s="22"/>
      <c r="M145" s="25" t="str">
        <f aca="false">IF($K145="","",IFERROR(INDEX(Lists!$D$4:$D$14,MATCH($K145,Lists!$A$4:$A$14,0)),"Check stage"))</f>
        <v/>
      </c>
      <c r="N145" s="21"/>
      <c r="O145" s="21"/>
      <c r="P145" s="26"/>
      <c r="Q145" s="26"/>
      <c r="R145" s="21"/>
      <c r="S145" s="21"/>
      <c r="T145" s="22"/>
      <c r="U145" s="22"/>
      <c r="V145" s="24" t="str">
        <f aca="false">IF(OR(N($P145)=0,$Q145=""),"",$Q145/$P145-1)</f>
        <v/>
      </c>
      <c r="W145" s="25" t="str">
        <f aca="true">IF($J145="","",IF($M145="Active",TODAY(),IF($U145&lt;&gt;"",$U145,IF($L145&lt;&gt;"",$L145,TODAY())))-$J145)</f>
        <v/>
      </c>
      <c r="X145" s="25" t="str">
        <f aca="true">IF(OR($L145="",$M145&lt;&gt;"Active"),"",TODAY()-$L145)</f>
        <v/>
      </c>
      <c r="Y145" s="25" t="str">
        <f aca="false">IF($M145&lt;&gt;"Active","",INDEX(Lists!$C$4:$C$14,MATCH($K145,Lists!$A$4:$A$14,0)))</f>
        <v/>
      </c>
      <c r="Z145" s="25" t="str">
        <f aca="false">IF($B145="","",IF($M145&lt;&gt;"Active","Closed",IF($X145="","",IF($X145&gt;$Y145,"BREACH","On Track"))))</f>
        <v/>
      </c>
      <c r="AA145" s="25" t="str">
        <f aca="false">IF($K145="","",IFERROR(INDEX(Lists!$E$4:$E$14,MATCH($K145,Lists!$A$4:$A$14,0)),""))</f>
        <v/>
      </c>
      <c r="AB145" s="27" t="str">
        <f aca="false">IF($U145&lt;&gt;"",$U145,IF(OR($T145="",$M145&lt;&gt;"Active"),"",$T145+N($R145)))</f>
        <v/>
      </c>
      <c r="AC145" s="25" t="str">
        <f aca="false">IF(OR($T145="",$J145=""),"",$T145-$J145)</f>
        <v/>
      </c>
      <c r="AD145" s="25" t="str">
        <f aca="false">IF(AND($K145="Joined",$U145&lt;&gt;"",$J145&lt;&gt;""),$U145-$J145,"")</f>
        <v/>
      </c>
      <c r="AE145" s="25" t="str">
        <f aca="false">IF($K145="","",IF(OR($K145="Rejected",$K145="Withdrawn"),IFERROR(INDEX(Lists!$B$4:$B$14,MATCH($N145,Lists!$A$4:$A$14,0)),1),IFERROR(INDEX(Lists!$B$4:$B$14,MATCH($K145,Lists!$A$4:$A$14,0)),0)))</f>
        <v/>
      </c>
    </row>
    <row r="146" customFormat="false" ht="15" hidden="false" customHeight="false" outlineLevel="0" collapsed="false">
      <c r="A146" s="25" t="str">
        <f aca="false">IF($B146="","","C-"&amp;TEXT(ROW()-1,"0000"))</f>
        <v/>
      </c>
      <c r="B146" s="21"/>
      <c r="C146" s="21"/>
      <c r="D146" s="21"/>
      <c r="E146" s="21"/>
      <c r="F146" s="25" t="str">
        <f aca="false">IF($E146="","",IFERROR(INDEX(Requisitions!$B$2:$B$101,MATCH($E146,Requisitions!$A$2:$A$101,0)),"Unknown Req"))</f>
        <v/>
      </c>
      <c r="G146" s="25" t="str">
        <f aca="false">IF($E146="","",IFERROR(INDEX(Requisitions!$D$2:$D$101,MATCH($E146,Requisitions!$A$2:$A$101,0)),""))</f>
        <v/>
      </c>
      <c r="H146" s="21"/>
      <c r="I146" s="21"/>
      <c r="J146" s="22"/>
      <c r="K146" s="21"/>
      <c r="L146" s="22"/>
      <c r="M146" s="25" t="str">
        <f aca="false">IF($K146="","",IFERROR(INDEX(Lists!$D$4:$D$14,MATCH($K146,Lists!$A$4:$A$14,0)),"Check stage"))</f>
        <v/>
      </c>
      <c r="N146" s="21"/>
      <c r="O146" s="21"/>
      <c r="P146" s="26"/>
      <c r="Q146" s="26"/>
      <c r="R146" s="21"/>
      <c r="S146" s="21"/>
      <c r="T146" s="22"/>
      <c r="U146" s="22"/>
      <c r="V146" s="24" t="str">
        <f aca="false">IF(OR(N($P146)=0,$Q146=""),"",$Q146/$P146-1)</f>
        <v/>
      </c>
      <c r="W146" s="25" t="str">
        <f aca="true">IF($J146="","",IF($M146="Active",TODAY(),IF($U146&lt;&gt;"",$U146,IF($L146&lt;&gt;"",$L146,TODAY())))-$J146)</f>
        <v/>
      </c>
      <c r="X146" s="25" t="str">
        <f aca="true">IF(OR($L146="",$M146&lt;&gt;"Active"),"",TODAY()-$L146)</f>
        <v/>
      </c>
      <c r="Y146" s="25" t="str">
        <f aca="false">IF($M146&lt;&gt;"Active","",INDEX(Lists!$C$4:$C$14,MATCH($K146,Lists!$A$4:$A$14,0)))</f>
        <v/>
      </c>
      <c r="Z146" s="25" t="str">
        <f aca="false">IF($B146="","",IF($M146&lt;&gt;"Active","Closed",IF($X146="","",IF($X146&gt;$Y146,"BREACH","On Track"))))</f>
        <v/>
      </c>
      <c r="AA146" s="25" t="str">
        <f aca="false">IF($K146="","",IFERROR(INDEX(Lists!$E$4:$E$14,MATCH($K146,Lists!$A$4:$A$14,0)),""))</f>
        <v/>
      </c>
      <c r="AB146" s="27" t="str">
        <f aca="false">IF($U146&lt;&gt;"",$U146,IF(OR($T146="",$M146&lt;&gt;"Active"),"",$T146+N($R146)))</f>
        <v/>
      </c>
      <c r="AC146" s="25" t="str">
        <f aca="false">IF(OR($T146="",$J146=""),"",$T146-$J146)</f>
        <v/>
      </c>
      <c r="AD146" s="25" t="str">
        <f aca="false">IF(AND($K146="Joined",$U146&lt;&gt;"",$J146&lt;&gt;""),$U146-$J146,"")</f>
        <v/>
      </c>
      <c r="AE146" s="25" t="str">
        <f aca="false">IF($K146="","",IF(OR($K146="Rejected",$K146="Withdrawn"),IFERROR(INDEX(Lists!$B$4:$B$14,MATCH($N146,Lists!$A$4:$A$14,0)),1),IFERROR(INDEX(Lists!$B$4:$B$14,MATCH($K146,Lists!$A$4:$A$14,0)),0)))</f>
        <v/>
      </c>
    </row>
    <row r="147" customFormat="false" ht="15" hidden="false" customHeight="false" outlineLevel="0" collapsed="false">
      <c r="A147" s="25" t="str">
        <f aca="false">IF($B147="","","C-"&amp;TEXT(ROW()-1,"0000"))</f>
        <v/>
      </c>
      <c r="B147" s="21"/>
      <c r="C147" s="21"/>
      <c r="D147" s="21"/>
      <c r="E147" s="21"/>
      <c r="F147" s="25" t="str">
        <f aca="false">IF($E147="","",IFERROR(INDEX(Requisitions!$B$2:$B$101,MATCH($E147,Requisitions!$A$2:$A$101,0)),"Unknown Req"))</f>
        <v/>
      </c>
      <c r="G147" s="25" t="str">
        <f aca="false">IF($E147="","",IFERROR(INDEX(Requisitions!$D$2:$D$101,MATCH($E147,Requisitions!$A$2:$A$101,0)),""))</f>
        <v/>
      </c>
      <c r="H147" s="21"/>
      <c r="I147" s="21"/>
      <c r="J147" s="22"/>
      <c r="K147" s="21"/>
      <c r="L147" s="22"/>
      <c r="M147" s="25" t="str">
        <f aca="false">IF($K147="","",IFERROR(INDEX(Lists!$D$4:$D$14,MATCH($K147,Lists!$A$4:$A$14,0)),"Check stage"))</f>
        <v/>
      </c>
      <c r="N147" s="21"/>
      <c r="O147" s="21"/>
      <c r="P147" s="26"/>
      <c r="Q147" s="26"/>
      <c r="R147" s="21"/>
      <c r="S147" s="21"/>
      <c r="T147" s="22"/>
      <c r="U147" s="22"/>
      <c r="V147" s="24" t="str">
        <f aca="false">IF(OR(N($P147)=0,$Q147=""),"",$Q147/$P147-1)</f>
        <v/>
      </c>
      <c r="W147" s="25" t="str">
        <f aca="true">IF($J147="","",IF($M147="Active",TODAY(),IF($U147&lt;&gt;"",$U147,IF($L147&lt;&gt;"",$L147,TODAY())))-$J147)</f>
        <v/>
      </c>
      <c r="X147" s="25" t="str">
        <f aca="true">IF(OR($L147="",$M147&lt;&gt;"Active"),"",TODAY()-$L147)</f>
        <v/>
      </c>
      <c r="Y147" s="25" t="str">
        <f aca="false">IF($M147&lt;&gt;"Active","",INDEX(Lists!$C$4:$C$14,MATCH($K147,Lists!$A$4:$A$14,0)))</f>
        <v/>
      </c>
      <c r="Z147" s="25" t="str">
        <f aca="false">IF($B147="","",IF($M147&lt;&gt;"Active","Closed",IF($X147="","",IF($X147&gt;$Y147,"BREACH","On Track"))))</f>
        <v/>
      </c>
      <c r="AA147" s="25" t="str">
        <f aca="false">IF($K147="","",IFERROR(INDEX(Lists!$E$4:$E$14,MATCH($K147,Lists!$A$4:$A$14,0)),""))</f>
        <v/>
      </c>
      <c r="AB147" s="27" t="str">
        <f aca="false">IF($U147&lt;&gt;"",$U147,IF(OR($T147="",$M147&lt;&gt;"Active"),"",$T147+N($R147)))</f>
        <v/>
      </c>
      <c r="AC147" s="25" t="str">
        <f aca="false">IF(OR($T147="",$J147=""),"",$T147-$J147)</f>
        <v/>
      </c>
      <c r="AD147" s="25" t="str">
        <f aca="false">IF(AND($K147="Joined",$U147&lt;&gt;"",$J147&lt;&gt;""),$U147-$J147,"")</f>
        <v/>
      </c>
      <c r="AE147" s="25" t="str">
        <f aca="false">IF($K147="","",IF(OR($K147="Rejected",$K147="Withdrawn"),IFERROR(INDEX(Lists!$B$4:$B$14,MATCH($N147,Lists!$A$4:$A$14,0)),1),IFERROR(INDEX(Lists!$B$4:$B$14,MATCH($K147,Lists!$A$4:$A$14,0)),0)))</f>
        <v/>
      </c>
    </row>
    <row r="148" customFormat="false" ht="15" hidden="false" customHeight="false" outlineLevel="0" collapsed="false">
      <c r="A148" s="25" t="str">
        <f aca="false">IF($B148="","","C-"&amp;TEXT(ROW()-1,"0000"))</f>
        <v/>
      </c>
      <c r="B148" s="21"/>
      <c r="C148" s="21"/>
      <c r="D148" s="21"/>
      <c r="E148" s="21"/>
      <c r="F148" s="25" t="str">
        <f aca="false">IF($E148="","",IFERROR(INDEX(Requisitions!$B$2:$B$101,MATCH($E148,Requisitions!$A$2:$A$101,0)),"Unknown Req"))</f>
        <v/>
      </c>
      <c r="G148" s="25" t="str">
        <f aca="false">IF($E148="","",IFERROR(INDEX(Requisitions!$D$2:$D$101,MATCH($E148,Requisitions!$A$2:$A$101,0)),""))</f>
        <v/>
      </c>
      <c r="H148" s="21"/>
      <c r="I148" s="21"/>
      <c r="J148" s="22"/>
      <c r="K148" s="21"/>
      <c r="L148" s="22"/>
      <c r="M148" s="25" t="str">
        <f aca="false">IF($K148="","",IFERROR(INDEX(Lists!$D$4:$D$14,MATCH($K148,Lists!$A$4:$A$14,0)),"Check stage"))</f>
        <v/>
      </c>
      <c r="N148" s="21"/>
      <c r="O148" s="21"/>
      <c r="P148" s="26"/>
      <c r="Q148" s="26"/>
      <c r="R148" s="21"/>
      <c r="S148" s="21"/>
      <c r="T148" s="22"/>
      <c r="U148" s="22"/>
      <c r="V148" s="24" t="str">
        <f aca="false">IF(OR(N($P148)=0,$Q148=""),"",$Q148/$P148-1)</f>
        <v/>
      </c>
      <c r="W148" s="25" t="str">
        <f aca="true">IF($J148="","",IF($M148="Active",TODAY(),IF($U148&lt;&gt;"",$U148,IF($L148&lt;&gt;"",$L148,TODAY())))-$J148)</f>
        <v/>
      </c>
      <c r="X148" s="25" t="str">
        <f aca="true">IF(OR($L148="",$M148&lt;&gt;"Active"),"",TODAY()-$L148)</f>
        <v/>
      </c>
      <c r="Y148" s="25" t="str">
        <f aca="false">IF($M148&lt;&gt;"Active","",INDEX(Lists!$C$4:$C$14,MATCH($K148,Lists!$A$4:$A$14,0)))</f>
        <v/>
      </c>
      <c r="Z148" s="25" t="str">
        <f aca="false">IF($B148="","",IF($M148&lt;&gt;"Active","Closed",IF($X148="","",IF($X148&gt;$Y148,"BREACH","On Track"))))</f>
        <v/>
      </c>
      <c r="AA148" s="25" t="str">
        <f aca="false">IF($K148="","",IFERROR(INDEX(Lists!$E$4:$E$14,MATCH($K148,Lists!$A$4:$A$14,0)),""))</f>
        <v/>
      </c>
      <c r="AB148" s="27" t="str">
        <f aca="false">IF($U148&lt;&gt;"",$U148,IF(OR($T148="",$M148&lt;&gt;"Active"),"",$T148+N($R148)))</f>
        <v/>
      </c>
      <c r="AC148" s="25" t="str">
        <f aca="false">IF(OR($T148="",$J148=""),"",$T148-$J148)</f>
        <v/>
      </c>
      <c r="AD148" s="25" t="str">
        <f aca="false">IF(AND($K148="Joined",$U148&lt;&gt;"",$J148&lt;&gt;""),$U148-$J148,"")</f>
        <v/>
      </c>
      <c r="AE148" s="25" t="str">
        <f aca="false">IF($K148="","",IF(OR($K148="Rejected",$K148="Withdrawn"),IFERROR(INDEX(Lists!$B$4:$B$14,MATCH($N148,Lists!$A$4:$A$14,0)),1),IFERROR(INDEX(Lists!$B$4:$B$14,MATCH($K148,Lists!$A$4:$A$14,0)),0)))</f>
        <v/>
      </c>
    </row>
    <row r="149" customFormat="false" ht="15" hidden="false" customHeight="false" outlineLevel="0" collapsed="false">
      <c r="A149" s="25" t="str">
        <f aca="false">IF($B149="","","C-"&amp;TEXT(ROW()-1,"0000"))</f>
        <v/>
      </c>
      <c r="B149" s="21"/>
      <c r="C149" s="21"/>
      <c r="D149" s="21"/>
      <c r="E149" s="21"/>
      <c r="F149" s="25" t="str">
        <f aca="false">IF($E149="","",IFERROR(INDEX(Requisitions!$B$2:$B$101,MATCH($E149,Requisitions!$A$2:$A$101,0)),"Unknown Req"))</f>
        <v/>
      </c>
      <c r="G149" s="25" t="str">
        <f aca="false">IF($E149="","",IFERROR(INDEX(Requisitions!$D$2:$D$101,MATCH($E149,Requisitions!$A$2:$A$101,0)),""))</f>
        <v/>
      </c>
      <c r="H149" s="21"/>
      <c r="I149" s="21"/>
      <c r="J149" s="22"/>
      <c r="K149" s="21"/>
      <c r="L149" s="22"/>
      <c r="M149" s="25" t="str">
        <f aca="false">IF($K149="","",IFERROR(INDEX(Lists!$D$4:$D$14,MATCH($K149,Lists!$A$4:$A$14,0)),"Check stage"))</f>
        <v/>
      </c>
      <c r="N149" s="21"/>
      <c r="O149" s="21"/>
      <c r="P149" s="26"/>
      <c r="Q149" s="26"/>
      <c r="R149" s="21"/>
      <c r="S149" s="21"/>
      <c r="T149" s="22"/>
      <c r="U149" s="22"/>
      <c r="V149" s="24" t="str">
        <f aca="false">IF(OR(N($P149)=0,$Q149=""),"",$Q149/$P149-1)</f>
        <v/>
      </c>
      <c r="W149" s="25" t="str">
        <f aca="true">IF($J149="","",IF($M149="Active",TODAY(),IF($U149&lt;&gt;"",$U149,IF($L149&lt;&gt;"",$L149,TODAY())))-$J149)</f>
        <v/>
      </c>
      <c r="X149" s="25" t="str">
        <f aca="true">IF(OR($L149="",$M149&lt;&gt;"Active"),"",TODAY()-$L149)</f>
        <v/>
      </c>
      <c r="Y149" s="25" t="str">
        <f aca="false">IF($M149&lt;&gt;"Active","",INDEX(Lists!$C$4:$C$14,MATCH($K149,Lists!$A$4:$A$14,0)))</f>
        <v/>
      </c>
      <c r="Z149" s="25" t="str">
        <f aca="false">IF($B149="","",IF($M149&lt;&gt;"Active","Closed",IF($X149="","",IF($X149&gt;$Y149,"BREACH","On Track"))))</f>
        <v/>
      </c>
      <c r="AA149" s="25" t="str">
        <f aca="false">IF($K149="","",IFERROR(INDEX(Lists!$E$4:$E$14,MATCH($K149,Lists!$A$4:$A$14,0)),""))</f>
        <v/>
      </c>
      <c r="AB149" s="27" t="str">
        <f aca="false">IF($U149&lt;&gt;"",$U149,IF(OR($T149="",$M149&lt;&gt;"Active"),"",$T149+N($R149)))</f>
        <v/>
      </c>
      <c r="AC149" s="25" t="str">
        <f aca="false">IF(OR($T149="",$J149=""),"",$T149-$J149)</f>
        <v/>
      </c>
      <c r="AD149" s="25" t="str">
        <f aca="false">IF(AND($K149="Joined",$U149&lt;&gt;"",$J149&lt;&gt;""),$U149-$J149,"")</f>
        <v/>
      </c>
      <c r="AE149" s="25" t="str">
        <f aca="false">IF($K149="","",IF(OR($K149="Rejected",$K149="Withdrawn"),IFERROR(INDEX(Lists!$B$4:$B$14,MATCH($N149,Lists!$A$4:$A$14,0)),1),IFERROR(INDEX(Lists!$B$4:$B$14,MATCH($K149,Lists!$A$4:$A$14,0)),0)))</f>
        <v/>
      </c>
    </row>
    <row r="150" customFormat="false" ht="15" hidden="false" customHeight="false" outlineLevel="0" collapsed="false">
      <c r="A150" s="25" t="str">
        <f aca="false">IF($B150="","","C-"&amp;TEXT(ROW()-1,"0000"))</f>
        <v/>
      </c>
      <c r="B150" s="21"/>
      <c r="C150" s="21"/>
      <c r="D150" s="21"/>
      <c r="E150" s="21"/>
      <c r="F150" s="25" t="str">
        <f aca="false">IF($E150="","",IFERROR(INDEX(Requisitions!$B$2:$B$101,MATCH($E150,Requisitions!$A$2:$A$101,0)),"Unknown Req"))</f>
        <v/>
      </c>
      <c r="G150" s="25" t="str">
        <f aca="false">IF($E150="","",IFERROR(INDEX(Requisitions!$D$2:$D$101,MATCH($E150,Requisitions!$A$2:$A$101,0)),""))</f>
        <v/>
      </c>
      <c r="H150" s="21"/>
      <c r="I150" s="21"/>
      <c r="J150" s="22"/>
      <c r="K150" s="21"/>
      <c r="L150" s="22"/>
      <c r="M150" s="25" t="str">
        <f aca="false">IF($K150="","",IFERROR(INDEX(Lists!$D$4:$D$14,MATCH($K150,Lists!$A$4:$A$14,0)),"Check stage"))</f>
        <v/>
      </c>
      <c r="N150" s="21"/>
      <c r="O150" s="21"/>
      <c r="P150" s="26"/>
      <c r="Q150" s="26"/>
      <c r="R150" s="21"/>
      <c r="S150" s="21"/>
      <c r="T150" s="22"/>
      <c r="U150" s="22"/>
      <c r="V150" s="24" t="str">
        <f aca="false">IF(OR(N($P150)=0,$Q150=""),"",$Q150/$P150-1)</f>
        <v/>
      </c>
      <c r="W150" s="25" t="str">
        <f aca="true">IF($J150="","",IF($M150="Active",TODAY(),IF($U150&lt;&gt;"",$U150,IF($L150&lt;&gt;"",$L150,TODAY())))-$J150)</f>
        <v/>
      </c>
      <c r="X150" s="25" t="str">
        <f aca="true">IF(OR($L150="",$M150&lt;&gt;"Active"),"",TODAY()-$L150)</f>
        <v/>
      </c>
      <c r="Y150" s="25" t="str">
        <f aca="false">IF($M150&lt;&gt;"Active","",INDEX(Lists!$C$4:$C$14,MATCH($K150,Lists!$A$4:$A$14,0)))</f>
        <v/>
      </c>
      <c r="Z150" s="25" t="str">
        <f aca="false">IF($B150="","",IF($M150&lt;&gt;"Active","Closed",IF($X150="","",IF($X150&gt;$Y150,"BREACH","On Track"))))</f>
        <v/>
      </c>
      <c r="AA150" s="25" t="str">
        <f aca="false">IF($K150="","",IFERROR(INDEX(Lists!$E$4:$E$14,MATCH($K150,Lists!$A$4:$A$14,0)),""))</f>
        <v/>
      </c>
      <c r="AB150" s="27" t="str">
        <f aca="false">IF($U150&lt;&gt;"",$U150,IF(OR($T150="",$M150&lt;&gt;"Active"),"",$T150+N($R150)))</f>
        <v/>
      </c>
      <c r="AC150" s="25" t="str">
        <f aca="false">IF(OR($T150="",$J150=""),"",$T150-$J150)</f>
        <v/>
      </c>
      <c r="AD150" s="25" t="str">
        <f aca="false">IF(AND($K150="Joined",$U150&lt;&gt;"",$J150&lt;&gt;""),$U150-$J150,"")</f>
        <v/>
      </c>
      <c r="AE150" s="25" t="str">
        <f aca="false">IF($K150="","",IF(OR($K150="Rejected",$K150="Withdrawn"),IFERROR(INDEX(Lists!$B$4:$B$14,MATCH($N150,Lists!$A$4:$A$14,0)),1),IFERROR(INDEX(Lists!$B$4:$B$14,MATCH($K150,Lists!$A$4:$A$14,0)),0)))</f>
        <v/>
      </c>
    </row>
    <row r="151" customFormat="false" ht="15" hidden="false" customHeight="false" outlineLevel="0" collapsed="false">
      <c r="A151" s="25" t="str">
        <f aca="false">IF($B151="","","C-"&amp;TEXT(ROW()-1,"0000"))</f>
        <v/>
      </c>
      <c r="B151" s="21"/>
      <c r="C151" s="21"/>
      <c r="D151" s="21"/>
      <c r="E151" s="21"/>
      <c r="F151" s="25" t="str">
        <f aca="false">IF($E151="","",IFERROR(INDEX(Requisitions!$B$2:$B$101,MATCH($E151,Requisitions!$A$2:$A$101,0)),"Unknown Req"))</f>
        <v/>
      </c>
      <c r="G151" s="25" t="str">
        <f aca="false">IF($E151="","",IFERROR(INDEX(Requisitions!$D$2:$D$101,MATCH($E151,Requisitions!$A$2:$A$101,0)),""))</f>
        <v/>
      </c>
      <c r="H151" s="21"/>
      <c r="I151" s="21"/>
      <c r="J151" s="22"/>
      <c r="K151" s="21"/>
      <c r="L151" s="22"/>
      <c r="M151" s="25" t="str">
        <f aca="false">IF($K151="","",IFERROR(INDEX(Lists!$D$4:$D$14,MATCH($K151,Lists!$A$4:$A$14,0)),"Check stage"))</f>
        <v/>
      </c>
      <c r="N151" s="21"/>
      <c r="O151" s="21"/>
      <c r="P151" s="26"/>
      <c r="Q151" s="26"/>
      <c r="R151" s="21"/>
      <c r="S151" s="21"/>
      <c r="T151" s="22"/>
      <c r="U151" s="22"/>
      <c r="V151" s="24" t="str">
        <f aca="false">IF(OR(N($P151)=0,$Q151=""),"",$Q151/$P151-1)</f>
        <v/>
      </c>
      <c r="W151" s="25" t="str">
        <f aca="true">IF($J151="","",IF($M151="Active",TODAY(),IF($U151&lt;&gt;"",$U151,IF($L151&lt;&gt;"",$L151,TODAY())))-$J151)</f>
        <v/>
      </c>
      <c r="X151" s="25" t="str">
        <f aca="true">IF(OR($L151="",$M151&lt;&gt;"Active"),"",TODAY()-$L151)</f>
        <v/>
      </c>
      <c r="Y151" s="25" t="str">
        <f aca="false">IF($M151&lt;&gt;"Active","",INDEX(Lists!$C$4:$C$14,MATCH($K151,Lists!$A$4:$A$14,0)))</f>
        <v/>
      </c>
      <c r="Z151" s="25" t="str">
        <f aca="false">IF($B151="","",IF($M151&lt;&gt;"Active","Closed",IF($X151="","",IF($X151&gt;$Y151,"BREACH","On Track"))))</f>
        <v/>
      </c>
      <c r="AA151" s="25" t="str">
        <f aca="false">IF($K151="","",IFERROR(INDEX(Lists!$E$4:$E$14,MATCH($K151,Lists!$A$4:$A$14,0)),""))</f>
        <v/>
      </c>
      <c r="AB151" s="27" t="str">
        <f aca="false">IF($U151&lt;&gt;"",$U151,IF(OR($T151="",$M151&lt;&gt;"Active"),"",$T151+N($R151)))</f>
        <v/>
      </c>
      <c r="AC151" s="25" t="str">
        <f aca="false">IF(OR($T151="",$J151=""),"",$T151-$J151)</f>
        <v/>
      </c>
      <c r="AD151" s="25" t="str">
        <f aca="false">IF(AND($K151="Joined",$U151&lt;&gt;"",$J151&lt;&gt;""),$U151-$J151,"")</f>
        <v/>
      </c>
      <c r="AE151" s="25" t="str">
        <f aca="false">IF($K151="","",IF(OR($K151="Rejected",$K151="Withdrawn"),IFERROR(INDEX(Lists!$B$4:$B$14,MATCH($N151,Lists!$A$4:$A$14,0)),1),IFERROR(INDEX(Lists!$B$4:$B$14,MATCH($K151,Lists!$A$4:$A$14,0)),0)))</f>
        <v/>
      </c>
    </row>
    <row r="152" customFormat="false" ht="15" hidden="false" customHeight="false" outlineLevel="0" collapsed="false">
      <c r="A152" s="25" t="str">
        <f aca="false">IF($B152="","","C-"&amp;TEXT(ROW()-1,"0000"))</f>
        <v/>
      </c>
      <c r="B152" s="21"/>
      <c r="C152" s="21"/>
      <c r="D152" s="21"/>
      <c r="E152" s="21"/>
      <c r="F152" s="25" t="str">
        <f aca="false">IF($E152="","",IFERROR(INDEX(Requisitions!$B$2:$B$101,MATCH($E152,Requisitions!$A$2:$A$101,0)),"Unknown Req"))</f>
        <v/>
      </c>
      <c r="G152" s="25" t="str">
        <f aca="false">IF($E152="","",IFERROR(INDEX(Requisitions!$D$2:$D$101,MATCH($E152,Requisitions!$A$2:$A$101,0)),""))</f>
        <v/>
      </c>
      <c r="H152" s="21"/>
      <c r="I152" s="21"/>
      <c r="J152" s="22"/>
      <c r="K152" s="21"/>
      <c r="L152" s="22"/>
      <c r="M152" s="25" t="str">
        <f aca="false">IF($K152="","",IFERROR(INDEX(Lists!$D$4:$D$14,MATCH($K152,Lists!$A$4:$A$14,0)),"Check stage"))</f>
        <v/>
      </c>
      <c r="N152" s="21"/>
      <c r="O152" s="21"/>
      <c r="P152" s="26"/>
      <c r="Q152" s="26"/>
      <c r="R152" s="21"/>
      <c r="S152" s="21"/>
      <c r="T152" s="22"/>
      <c r="U152" s="22"/>
      <c r="V152" s="24" t="str">
        <f aca="false">IF(OR(N($P152)=0,$Q152=""),"",$Q152/$P152-1)</f>
        <v/>
      </c>
      <c r="W152" s="25" t="str">
        <f aca="true">IF($J152="","",IF($M152="Active",TODAY(),IF($U152&lt;&gt;"",$U152,IF($L152&lt;&gt;"",$L152,TODAY())))-$J152)</f>
        <v/>
      </c>
      <c r="X152" s="25" t="str">
        <f aca="true">IF(OR($L152="",$M152&lt;&gt;"Active"),"",TODAY()-$L152)</f>
        <v/>
      </c>
      <c r="Y152" s="25" t="str">
        <f aca="false">IF($M152&lt;&gt;"Active","",INDEX(Lists!$C$4:$C$14,MATCH($K152,Lists!$A$4:$A$14,0)))</f>
        <v/>
      </c>
      <c r="Z152" s="25" t="str">
        <f aca="false">IF($B152="","",IF($M152&lt;&gt;"Active","Closed",IF($X152="","",IF($X152&gt;$Y152,"BREACH","On Track"))))</f>
        <v/>
      </c>
      <c r="AA152" s="25" t="str">
        <f aca="false">IF($K152="","",IFERROR(INDEX(Lists!$E$4:$E$14,MATCH($K152,Lists!$A$4:$A$14,0)),""))</f>
        <v/>
      </c>
      <c r="AB152" s="27" t="str">
        <f aca="false">IF($U152&lt;&gt;"",$U152,IF(OR($T152="",$M152&lt;&gt;"Active"),"",$T152+N($R152)))</f>
        <v/>
      </c>
      <c r="AC152" s="25" t="str">
        <f aca="false">IF(OR($T152="",$J152=""),"",$T152-$J152)</f>
        <v/>
      </c>
      <c r="AD152" s="25" t="str">
        <f aca="false">IF(AND($K152="Joined",$U152&lt;&gt;"",$J152&lt;&gt;""),$U152-$J152,"")</f>
        <v/>
      </c>
      <c r="AE152" s="25" t="str">
        <f aca="false">IF($K152="","",IF(OR($K152="Rejected",$K152="Withdrawn"),IFERROR(INDEX(Lists!$B$4:$B$14,MATCH($N152,Lists!$A$4:$A$14,0)),1),IFERROR(INDEX(Lists!$B$4:$B$14,MATCH($K152,Lists!$A$4:$A$14,0)),0)))</f>
        <v/>
      </c>
    </row>
    <row r="153" customFormat="false" ht="15" hidden="false" customHeight="false" outlineLevel="0" collapsed="false">
      <c r="A153" s="25" t="str">
        <f aca="false">IF($B153="","","C-"&amp;TEXT(ROW()-1,"0000"))</f>
        <v/>
      </c>
      <c r="B153" s="21"/>
      <c r="C153" s="21"/>
      <c r="D153" s="21"/>
      <c r="E153" s="21"/>
      <c r="F153" s="25" t="str">
        <f aca="false">IF($E153="","",IFERROR(INDEX(Requisitions!$B$2:$B$101,MATCH($E153,Requisitions!$A$2:$A$101,0)),"Unknown Req"))</f>
        <v/>
      </c>
      <c r="G153" s="25" t="str">
        <f aca="false">IF($E153="","",IFERROR(INDEX(Requisitions!$D$2:$D$101,MATCH($E153,Requisitions!$A$2:$A$101,0)),""))</f>
        <v/>
      </c>
      <c r="H153" s="21"/>
      <c r="I153" s="21"/>
      <c r="J153" s="22"/>
      <c r="K153" s="21"/>
      <c r="L153" s="22"/>
      <c r="M153" s="25" t="str">
        <f aca="false">IF($K153="","",IFERROR(INDEX(Lists!$D$4:$D$14,MATCH($K153,Lists!$A$4:$A$14,0)),"Check stage"))</f>
        <v/>
      </c>
      <c r="N153" s="21"/>
      <c r="O153" s="21"/>
      <c r="P153" s="26"/>
      <c r="Q153" s="26"/>
      <c r="R153" s="21"/>
      <c r="S153" s="21"/>
      <c r="T153" s="22"/>
      <c r="U153" s="22"/>
      <c r="V153" s="24" t="str">
        <f aca="false">IF(OR(N($P153)=0,$Q153=""),"",$Q153/$P153-1)</f>
        <v/>
      </c>
      <c r="W153" s="25" t="str">
        <f aca="true">IF($J153="","",IF($M153="Active",TODAY(),IF($U153&lt;&gt;"",$U153,IF($L153&lt;&gt;"",$L153,TODAY())))-$J153)</f>
        <v/>
      </c>
      <c r="X153" s="25" t="str">
        <f aca="true">IF(OR($L153="",$M153&lt;&gt;"Active"),"",TODAY()-$L153)</f>
        <v/>
      </c>
      <c r="Y153" s="25" t="str">
        <f aca="false">IF($M153&lt;&gt;"Active","",INDEX(Lists!$C$4:$C$14,MATCH($K153,Lists!$A$4:$A$14,0)))</f>
        <v/>
      </c>
      <c r="Z153" s="25" t="str">
        <f aca="false">IF($B153="","",IF($M153&lt;&gt;"Active","Closed",IF($X153="","",IF($X153&gt;$Y153,"BREACH","On Track"))))</f>
        <v/>
      </c>
      <c r="AA153" s="25" t="str">
        <f aca="false">IF($K153="","",IFERROR(INDEX(Lists!$E$4:$E$14,MATCH($K153,Lists!$A$4:$A$14,0)),""))</f>
        <v/>
      </c>
      <c r="AB153" s="27" t="str">
        <f aca="false">IF($U153&lt;&gt;"",$U153,IF(OR($T153="",$M153&lt;&gt;"Active"),"",$T153+N($R153)))</f>
        <v/>
      </c>
      <c r="AC153" s="25" t="str">
        <f aca="false">IF(OR($T153="",$J153=""),"",$T153-$J153)</f>
        <v/>
      </c>
      <c r="AD153" s="25" t="str">
        <f aca="false">IF(AND($K153="Joined",$U153&lt;&gt;"",$J153&lt;&gt;""),$U153-$J153,"")</f>
        <v/>
      </c>
      <c r="AE153" s="25" t="str">
        <f aca="false">IF($K153="","",IF(OR($K153="Rejected",$K153="Withdrawn"),IFERROR(INDEX(Lists!$B$4:$B$14,MATCH($N153,Lists!$A$4:$A$14,0)),1),IFERROR(INDEX(Lists!$B$4:$B$14,MATCH($K153,Lists!$A$4:$A$14,0)),0)))</f>
        <v/>
      </c>
    </row>
    <row r="154" customFormat="false" ht="15" hidden="false" customHeight="false" outlineLevel="0" collapsed="false">
      <c r="A154" s="25" t="str">
        <f aca="false">IF($B154="","","C-"&amp;TEXT(ROW()-1,"0000"))</f>
        <v/>
      </c>
      <c r="B154" s="21"/>
      <c r="C154" s="21"/>
      <c r="D154" s="21"/>
      <c r="E154" s="21"/>
      <c r="F154" s="25" t="str">
        <f aca="false">IF($E154="","",IFERROR(INDEX(Requisitions!$B$2:$B$101,MATCH($E154,Requisitions!$A$2:$A$101,0)),"Unknown Req"))</f>
        <v/>
      </c>
      <c r="G154" s="25" t="str">
        <f aca="false">IF($E154="","",IFERROR(INDEX(Requisitions!$D$2:$D$101,MATCH($E154,Requisitions!$A$2:$A$101,0)),""))</f>
        <v/>
      </c>
      <c r="H154" s="21"/>
      <c r="I154" s="21"/>
      <c r="J154" s="22"/>
      <c r="K154" s="21"/>
      <c r="L154" s="22"/>
      <c r="M154" s="25" t="str">
        <f aca="false">IF($K154="","",IFERROR(INDEX(Lists!$D$4:$D$14,MATCH($K154,Lists!$A$4:$A$14,0)),"Check stage"))</f>
        <v/>
      </c>
      <c r="N154" s="21"/>
      <c r="O154" s="21"/>
      <c r="P154" s="26"/>
      <c r="Q154" s="26"/>
      <c r="R154" s="21"/>
      <c r="S154" s="21"/>
      <c r="T154" s="22"/>
      <c r="U154" s="22"/>
      <c r="V154" s="24" t="str">
        <f aca="false">IF(OR(N($P154)=0,$Q154=""),"",$Q154/$P154-1)</f>
        <v/>
      </c>
      <c r="W154" s="25" t="str">
        <f aca="true">IF($J154="","",IF($M154="Active",TODAY(),IF($U154&lt;&gt;"",$U154,IF($L154&lt;&gt;"",$L154,TODAY())))-$J154)</f>
        <v/>
      </c>
      <c r="X154" s="25" t="str">
        <f aca="true">IF(OR($L154="",$M154&lt;&gt;"Active"),"",TODAY()-$L154)</f>
        <v/>
      </c>
      <c r="Y154" s="25" t="str">
        <f aca="false">IF($M154&lt;&gt;"Active","",INDEX(Lists!$C$4:$C$14,MATCH($K154,Lists!$A$4:$A$14,0)))</f>
        <v/>
      </c>
      <c r="Z154" s="25" t="str">
        <f aca="false">IF($B154="","",IF($M154&lt;&gt;"Active","Closed",IF($X154="","",IF($X154&gt;$Y154,"BREACH","On Track"))))</f>
        <v/>
      </c>
      <c r="AA154" s="25" t="str">
        <f aca="false">IF($K154="","",IFERROR(INDEX(Lists!$E$4:$E$14,MATCH($K154,Lists!$A$4:$A$14,0)),""))</f>
        <v/>
      </c>
      <c r="AB154" s="27" t="str">
        <f aca="false">IF($U154&lt;&gt;"",$U154,IF(OR($T154="",$M154&lt;&gt;"Active"),"",$T154+N($R154)))</f>
        <v/>
      </c>
      <c r="AC154" s="25" t="str">
        <f aca="false">IF(OR($T154="",$J154=""),"",$T154-$J154)</f>
        <v/>
      </c>
      <c r="AD154" s="25" t="str">
        <f aca="false">IF(AND($K154="Joined",$U154&lt;&gt;"",$J154&lt;&gt;""),$U154-$J154,"")</f>
        <v/>
      </c>
      <c r="AE154" s="25" t="str">
        <f aca="false">IF($K154="","",IF(OR($K154="Rejected",$K154="Withdrawn"),IFERROR(INDEX(Lists!$B$4:$B$14,MATCH($N154,Lists!$A$4:$A$14,0)),1),IFERROR(INDEX(Lists!$B$4:$B$14,MATCH($K154,Lists!$A$4:$A$14,0)),0)))</f>
        <v/>
      </c>
    </row>
    <row r="155" customFormat="false" ht="15" hidden="false" customHeight="false" outlineLevel="0" collapsed="false">
      <c r="A155" s="25" t="str">
        <f aca="false">IF($B155="","","C-"&amp;TEXT(ROW()-1,"0000"))</f>
        <v/>
      </c>
      <c r="B155" s="21"/>
      <c r="C155" s="21"/>
      <c r="D155" s="21"/>
      <c r="E155" s="21"/>
      <c r="F155" s="25" t="str">
        <f aca="false">IF($E155="","",IFERROR(INDEX(Requisitions!$B$2:$B$101,MATCH($E155,Requisitions!$A$2:$A$101,0)),"Unknown Req"))</f>
        <v/>
      </c>
      <c r="G155" s="25" t="str">
        <f aca="false">IF($E155="","",IFERROR(INDEX(Requisitions!$D$2:$D$101,MATCH($E155,Requisitions!$A$2:$A$101,0)),""))</f>
        <v/>
      </c>
      <c r="H155" s="21"/>
      <c r="I155" s="21"/>
      <c r="J155" s="22"/>
      <c r="K155" s="21"/>
      <c r="L155" s="22"/>
      <c r="M155" s="25" t="str">
        <f aca="false">IF($K155="","",IFERROR(INDEX(Lists!$D$4:$D$14,MATCH($K155,Lists!$A$4:$A$14,0)),"Check stage"))</f>
        <v/>
      </c>
      <c r="N155" s="21"/>
      <c r="O155" s="21"/>
      <c r="P155" s="26"/>
      <c r="Q155" s="26"/>
      <c r="R155" s="21"/>
      <c r="S155" s="21"/>
      <c r="T155" s="22"/>
      <c r="U155" s="22"/>
      <c r="V155" s="24" t="str">
        <f aca="false">IF(OR(N($P155)=0,$Q155=""),"",$Q155/$P155-1)</f>
        <v/>
      </c>
      <c r="W155" s="25" t="str">
        <f aca="true">IF($J155="","",IF($M155="Active",TODAY(),IF($U155&lt;&gt;"",$U155,IF($L155&lt;&gt;"",$L155,TODAY())))-$J155)</f>
        <v/>
      </c>
      <c r="X155" s="25" t="str">
        <f aca="true">IF(OR($L155="",$M155&lt;&gt;"Active"),"",TODAY()-$L155)</f>
        <v/>
      </c>
      <c r="Y155" s="25" t="str">
        <f aca="false">IF($M155&lt;&gt;"Active","",INDEX(Lists!$C$4:$C$14,MATCH($K155,Lists!$A$4:$A$14,0)))</f>
        <v/>
      </c>
      <c r="Z155" s="25" t="str">
        <f aca="false">IF($B155="","",IF($M155&lt;&gt;"Active","Closed",IF($X155="","",IF($X155&gt;$Y155,"BREACH","On Track"))))</f>
        <v/>
      </c>
      <c r="AA155" s="25" t="str">
        <f aca="false">IF($K155="","",IFERROR(INDEX(Lists!$E$4:$E$14,MATCH($K155,Lists!$A$4:$A$14,0)),""))</f>
        <v/>
      </c>
      <c r="AB155" s="27" t="str">
        <f aca="false">IF($U155&lt;&gt;"",$U155,IF(OR($T155="",$M155&lt;&gt;"Active"),"",$T155+N($R155)))</f>
        <v/>
      </c>
      <c r="AC155" s="25" t="str">
        <f aca="false">IF(OR($T155="",$J155=""),"",$T155-$J155)</f>
        <v/>
      </c>
      <c r="AD155" s="25" t="str">
        <f aca="false">IF(AND($K155="Joined",$U155&lt;&gt;"",$J155&lt;&gt;""),$U155-$J155,"")</f>
        <v/>
      </c>
      <c r="AE155" s="25" t="str">
        <f aca="false">IF($K155="","",IF(OR($K155="Rejected",$K155="Withdrawn"),IFERROR(INDEX(Lists!$B$4:$B$14,MATCH($N155,Lists!$A$4:$A$14,0)),1),IFERROR(INDEX(Lists!$B$4:$B$14,MATCH($K155,Lists!$A$4:$A$14,0)),0)))</f>
        <v/>
      </c>
    </row>
    <row r="156" customFormat="false" ht="15" hidden="false" customHeight="false" outlineLevel="0" collapsed="false">
      <c r="A156" s="25" t="str">
        <f aca="false">IF($B156="","","C-"&amp;TEXT(ROW()-1,"0000"))</f>
        <v/>
      </c>
      <c r="B156" s="21"/>
      <c r="C156" s="21"/>
      <c r="D156" s="21"/>
      <c r="E156" s="21"/>
      <c r="F156" s="25" t="str">
        <f aca="false">IF($E156="","",IFERROR(INDEX(Requisitions!$B$2:$B$101,MATCH($E156,Requisitions!$A$2:$A$101,0)),"Unknown Req"))</f>
        <v/>
      </c>
      <c r="G156" s="25" t="str">
        <f aca="false">IF($E156="","",IFERROR(INDEX(Requisitions!$D$2:$D$101,MATCH($E156,Requisitions!$A$2:$A$101,0)),""))</f>
        <v/>
      </c>
      <c r="H156" s="21"/>
      <c r="I156" s="21"/>
      <c r="J156" s="22"/>
      <c r="K156" s="21"/>
      <c r="L156" s="22"/>
      <c r="M156" s="25" t="str">
        <f aca="false">IF($K156="","",IFERROR(INDEX(Lists!$D$4:$D$14,MATCH($K156,Lists!$A$4:$A$14,0)),"Check stage"))</f>
        <v/>
      </c>
      <c r="N156" s="21"/>
      <c r="O156" s="21"/>
      <c r="P156" s="26"/>
      <c r="Q156" s="26"/>
      <c r="R156" s="21"/>
      <c r="S156" s="21"/>
      <c r="T156" s="22"/>
      <c r="U156" s="22"/>
      <c r="V156" s="24" t="str">
        <f aca="false">IF(OR(N($P156)=0,$Q156=""),"",$Q156/$P156-1)</f>
        <v/>
      </c>
      <c r="W156" s="25" t="str">
        <f aca="true">IF($J156="","",IF($M156="Active",TODAY(),IF($U156&lt;&gt;"",$U156,IF($L156&lt;&gt;"",$L156,TODAY())))-$J156)</f>
        <v/>
      </c>
      <c r="X156" s="25" t="str">
        <f aca="true">IF(OR($L156="",$M156&lt;&gt;"Active"),"",TODAY()-$L156)</f>
        <v/>
      </c>
      <c r="Y156" s="25" t="str">
        <f aca="false">IF($M156&lt;&gt;"Active","",INDEX(Lists!$C$4:$C$14,MATCH($K156,Lists!$A$4:$A$14,0)))</f>
        <v/>
      </c>
      <c r="Z156" s="25" t="str">
        <f aca="false">IF($B156="","",IF($M156&lt;&gt;"Active","Closed",IF($X156="","",IF($X156&gt;$Y156,"BREACH","On Track"))))</f>
        <v/>
      </c>
      <c r="AA156" s="25" t="str">
        <f aca="false">IF($K156="","",IFERROR(INDEX(Lists!$E$4:$E$14,MATCH($K156,Lists!$A$4:$A$14,0)),""))</f>
        <v/>
      </c>
      <c r="AB156" s="27" t="str">
        <f aca="false">IF($U156&lt;&gt;"",$U156,IF(OR($T156="",$M156&lt;&gt;"Active"),"",$T156+N($R156)))</f>
        <v/>
      </c>
      <c r="AC156" s="25" t="str">
        <f aca="false">IF(OR($T156="",$J156=""),"",$T156-$J156)</f>
        <v/>
      </c>
      <c r="AD156" s="25" t="str">
        <f aca="false">IF(AND($K156="Joined",$U156&lt;&gt;"",$J156&lt;&gt;""),$U156-$J156,"")</f>
        <v/>
      </c>
      <c r="AE156" s="25" t="str">
        <f aca="false">IF($K156="","",IF(OR($K156="Rejected",$K156="Withdrawn"),IFERROR(INDEX(Lists!$B$4:$B$14,MATCH($N156,Lists!$A$4:$A$14,0)),1),IFERROR(INDEX(Lists!$B$4:$B$14,MATCH($K156,Lists!$A$4:$A$14,0)),0)))</f>
        <v/>
      </c>
    </row>
    <row r="157" customFormat="false" ht="15" hidden="false" customHeight="false" outlineLevel="0" collapsed="false">
      <c r="A157" s="25" t="str">
        <f aca="false">IF($B157="","","C-"&amp;TEXT(ROW()-1,"0000"))</f>
        <v/>
      </c>
      <c r="B157" s="21"/>
      <c r="C157" s="21"/>
      <c r="D157" s="21"/>
      <c r="E157" s="21"/>
      <c r="F157" s="25" t="str">
        <f aca="false">IF($E157="","",IFERROR(INDEX(Requisitions!$B$2:$B$101,MATCH($E157,Requisitions!$A$2:$A$101,0)),"Unknown Req"))</f>
        <v/>
      </c>
      <c r="G157" s="25" t="str">
        <f aca="false">IF($E157="","",IFERROR(INDEX(Requisitions!$D$2:$D$101,MATCH($E157,Requisitions!$A$2:$A$101,0)),""))</f>
        <v/>
      </c>
      <c r="H157" s="21"/>
      <c r="I157" s="21"/>
      <c r="J157" s="22"/>
      <c r="K157" s="21"/>
      <c r="L157" s="22"/>
      <c r="M157" s="25" t="str">
        <f aca="false">IF($K157="","",IFERROR(INDEX(Lists!$D$4:$D$14,MATCH($K157,Lists!$A$4:$A$14,0)),"Check stage"))</f>
        <v/>
      </c>
      <c r="N157" s="21"/>
      <c r="O157" s="21"/>
      <c r="P157" s="26"/>
      <c r="Q157" s="26"/>
      <c r="R157" s="21"/>
      <c r="S157" s="21"/>
      <c r="T157" s="22"/>
      <c r="U157" s="22"/>
      <c r="V157" s="24" t="str">
        <f aca="false">IF(OR(N($P157)=0,$Q157=""),"",$Q157/$P157-1)</f>
        <v/>
      </c>
      <c r="W157" s="25" t="str">
        <f aca="true">IF($J157="","",IF($M157="Active",TODAY(),IF($U157&lt;&gt;"",$U157,IF($L157&lt;&gt;"",$L157,TODAY())))-$J157)</f>
        <v/>
      </c>
      <c r="X157" s="25" t="str">
        <f aca="true">IF(OR($L157="",$M157&lt;&gt;"Active"),"",TODAY()-$L157)</f>
        <v/>
      </c>
      <c r="Y157" s="25" t="str">
        <f aca="false">IF($M157&lt;&gt;"Active","",INDEX(Lists!$C$4:$C$14,MATCH($K157,Lists!$A$4:$A$14,0)))</f>
        <v/>
      </c>
      <c r="Z157" s="25" t="str">
        <f aca="false">IF($B157="","",IF($M157&lt;&gt;"Active","Closed",IF($X157="","",IF($X157&gt;$Y157,"BREACH","On Track"))))</f>
        <v/>
      </c>
      <c r="AA157" s="25" t="str">
        <f aca="false">IF($K157="","",IFERROR(INDEX(Lists!$E$4:$E$14,MATCH($K157,Lists!$A$4:$A$14,0)),""))</f>
        <v/>
      </c>
      <c r="AB157" s="27" t="str">
        <f aca="false">IF($U157&lt;&gt;"",$U157,IF(OR($T157="",$M157&lt;&gt;"Active"),"",$T157+N($R157)))</f>
        <v/>
      </c>
      <c r="AC157" s="25" t="str">
        <f aca="false">IF(OR($T157="",$J157=""),"",$T157-$J157)</f>
        <v/>
      </c>
      <c r="AD157" s="25" t="str">
        <f aca="false">IF(AND($K157="Joined",$U157&lt;&gt;"",$J157&lt;&gt;""),$U157-$J157,"")</f>
        <v/>
      </c>
      <c r="AE157" s="25" t="str">
        <f aca="false">IF($K157="","",IF(OR($K157="Rejected",$K157="Withdrawn"),IFERROR(INDEX(Lists!$B$4:$B$14,MATCH($N157,Lists!$A$4:$A$14,0)),1),IFERROR(INDEX(Lists!$B$4:$B$14,MATCH($K157,Lists!$A$4:$A$14,0)),0)))</f>
        <v/>
      </c>
    </row>
    <row r="158" customFormat="false" ht="15" hidden="false" customHeight="false" outlineLevel="0" collapsed="false">
      <c r="A158" s="25" t="str">
        <f aca="false">IF($B158="","","C-"&amp;TEXT(ROW()-1,"0000"))</f>
        <v/>
      </c>
      <c r="B158" s="21"/>
      <c r="C158" s="21"/>
      <c r="D158" s="21"/>
      <c r="E158" s="21"/>
      <c r="F158" s="25" t="str">
        <f aca="false">IF($E158="","",IFERROR(INDEX(Requisitions!$B$2:$B$101,MATCH($E158,Requisitions!$A$2:$A$101,0)),"Unknown Req"))</f>
        <v/>
      </c>
      <c r="G158" s="25" t="str">
        <f aca="false">IF($E158="","",IFERROR(INDEX(Requisitions!$D$2:$D$101,MATCH($E158,Requisitions!$A$2:$A$101,0)),""))</f>
        <v/>
      </c>
      <c r="H158" s="21"/>
      <c r="I158" s="21"/>
      <c r="J158" s="22"/>
      <c r="K158" s="21"/>
      <c r="L158" s="22"/>
      <c r="M158" s="25" t="str">
        <f aca="false">IF($K158="","",IFERROR(INDEX(Lists!$D$4:$D$14,MATCH($K158,Lists!$A$4:$A$14,0)),"Check stage"))</f>
        <v/>
      </c>
      <c r="N158" s="21"/>
      <c r="O158" s="21"/>
      <c r="P158" s="26"/>
      <c r="Q158" s="26"/>
      <c r="R158" s="21"/>
      <c r="S158" s="21"/>
      <c r="T158" s="22"/>
      <c r="U158" s="22"/>
      <c r="V158" s="24" t="str">
        <f aca="false">IF(OR(N($P158)=0,$Q158=""),"",$Q158/$P158-1)</f>
        <v/>
      </c>
      <c r="W158" s="25" t="str">
        <f aca="true">IF($J158="","",IF($M158="Active",TODAY(),IF($U158&lt;&gt;"",$U158,IF($L158&lt;&gt;"",$L158,TODAY())))-$J158)</f>
        <v/>
      </c>
      <c r="X158" s="25" t="str">
        <f aca="true">IF(OR($L158="",$M158&lt;&gt;"Active"),"",TODAY()-$L158)</f>
        <v/>
      </c>
      <c r="Y158" s="25" t="str">
        <f aca="false">IF($M158&lt;&gt;"Active","",INDEX(Lists!$C$4:$C$14,MATCH($K158,Lists!$A$4:$A$14,0)))</f>
        <v/>
      </c>
      <c r="Z158" s="25" t="str">
        <f aca="false">IF($B158="","",IF($M158&lt;&gt;"Active","Closed",IF($X158="","",IF($X158&gt;$Y158,"BREACH","On Track"))))</f>
        <v/>
      </c>
      <c r="AA158" s="25" t="str">
        <f aca="false">IF($K158="","",IFERROR(INDEX(Lists!$E$4:$E$14,MATCH($K158,Lists!$A$4:$A$14,0)),""))</f>
        <v/>
      </c>
      <c r="AB158" s="27" t="str">
        <f aca="false">IF($U158&lt;&gt;"",$U158,IF(OR($T158="",$M158&lt;&gt;"Active"),"",$T158+N($R158)))</f>
        <v/>
      </c>
      <c r="AC158" s="25" t="str">
        <f aca="false">IF(OR($T158="",$J158=""),"",$T158-$J158)</f>
        <v/>
      </c>
      <c r="AD158" s="25" t="str">
        <f aca="false">IF(AND($K158="Joined",$U158&lt;&gt;"",$J158&lt;&gt;""),$U158-$J158,"")</f>
        <v/>
      </c>
      <c r="AE158" s="25" t="str">
        <f aca="false">IF($K158="","",IF(OR($K158="Rejected",$K158="Withdrawn"),IFERROR(INDEX(Lists!$B$4:$B$14,MATCH($N158,Lists!$A$4:$A$14,0)),1),IFERROR(INDEX(Lists!$B$4:$B$14,MATCH($K158,Lists!$A$4:$A$14,0)),0)))</f>
        <v/>
      </c>
    </row>
    <row r="159" customFormat="false" ht="15" hidden="false" customHeight="false" outlineLevel="0" collapsed="false">
      <c r="A159" s="25" t="str">
        <f aca="false">IF($B159="","","C-"&amp;TEXT(ROW()-1,"0000"))</f>
        <v/>
      </c>
      <c r="B159" s="21"/>
      <c r="C159" s="21"/>
      <c r="D159" s="21"/>
      <c r="E159" s="21"/>
      <c r="F159" s="25" t="str">
        <f aca="false">IF($E159="","",IFERROR(INDEX(Requisitions!$B$2:$B$101,MATCH($E159,Requisitions!$A$2:$A$101,0)),"Unknown Req"))</f>
        <v/>
      </c>
      <c r="G159" s="25" t="str">
        <f aca="false">IF($E159="","",IFERROR(INDEX(Requisitions!$D$2:$D$101,MATCH($E159,Requisitions!$A$2:$A$101,0)),""))</f>
        <v/>
      </c>
      <c r="H159" s="21"/>
      <c r="I159" s="21"/>
      <c r="J159" s="22"/>
      <c r="K159" s="21"/>
      <c r="L159" s="22"/>
      <c r="M159" s="25" t="str">
        <f aca="false">IF($K159="","",IFERROR(INDEX(Lists!$D$4:$D$14,MATCH($K159,Lists!$A$4:$A$14,0)),"Check stage"))</f>
        <v/>
      </c>
      <c r="N159" s="21"/>
      <c r="O159" s="21"/>
      <c r="P159" s="26"/>
      <c r="Q159" s="26"/>
      <c r="R159" s="21"/>
      <c r="S159" s="21"/>
      <c r="T159" s="22"/>
      <c r="U159" s="22"/>
      <c r="V159" s="24" t="str">
        <f aca="false">IF(OR(N($P159)=0,$Q159=""),"",$Q159/$P159-1)</f>
        <v/>
      </c>
      <c r="W159" s="25" t="str">
        <f aca="true">IF($J159="","",IF($M159="Active",TODAY(),IF($U159&lt;&gt;"",$U159,IF($L159&lt;&gt;"",$L159,TODAY())))-$J159)</f>
        <v/>
      </c>
      <c r="X159" s="25" t="str">
        <f aca="true">IF(OR($L159="",$M159&lt;&gt;"Active"),"",TODAY()-$L159)</f>
        <v/>
      </c>
      <c r="Y159" s="25" t="str">
        <f aca="false">IF($M159&lt;&gt;"Active","",INDEX(Lists!$C$4:$C$14,MATCH($K159,Lists!$A$4:$A$14,0)))</f>
        <v/>
      </c>
      <c r="Z159" s="25" t="str">
        <f aca="false">IF($B159="","",IF($M159&lt;&gt;"Active","Closed",IF($X159="","",IF($X159&gt;$Y159,"BREACH","On Track"))))</f>
        <v/>
      </c>
      <c r="AA159" s="25" t="str">
        <f aca="false">IF($K159="","",IFERROR(INDEX(Lists!$E$4:$E$14,MATCH($K159,Lists!$A$4:$A$14,0)),""))</f>
        <v/>
      </c>
      <c r="AB159" s="27" t="str">
        <f aca="false">IF($U159&lt;&gt;"",$U159,IF(OR($T159="",$M159&lt;&gt;"Active"),"",$T159+N($R159)))</f>
        <v/>
      </c>
      <c r="AC159" s="25" t="str">
        <f aca="false">IF(OR($T159="",$J159=""),"",$T159-$J159)</f>
        <v/>
      </c>
      <c r="AD159" s="25" t="str">
        <f aca="false">IF(AND($K159="Joined",$U159&lt;&gt;"",$J159&lt;&gt;""),$U159-$J159,"")</f>
        <v/>
      </c>
      <c r="AE159" s="25" t="str">
        <f aca="false">IF($K159="","",IF(OR($K159="Rejected",$K159="Withdrawn"),IFERROR(INDEX(Lists!$B$4:$B$14,MATCH($N159,Lists!$A$4:$A$14,0)),1),IFERROR(INDEX(Lists!$B$4:$B$14,MATCH($K159,Lists!$A$4:$A$14,0)),0)))</f>
        <v/>
      </c>
    </row>
    <row r="160" customFormat="false" ht="15" hidden="false" customHeight="false" outlineLevel="0" collapsed="false">
      <c r="A160" s="25" t="str">
        <f aca="false">IF($B160="","","C-"&amp;TEXT(ROW()-1,"0000"))</f>
        <v/>
      </c>
      <c r="B160" s="21"/>
      <c r="C160" s="21"/>
      <c r="D160" s="21"/>
      <c r="E160" s="21"/>
      <c r="F160" s="25" t="str">
        <f aca="false">IF($E160="","",IFERROR(INDEX(Requisitions!$B$2:$B$101,MATCH($E160,Requisitions!$A$2:$A$101,0)),"Unknown Req"))</f>
        <v/>
      </c>
      <c r="G160" s="25" t="str">
        <f aca="false">IF($E160="","",IFERROR(INDEX(Requisitions!$D$2:$D$101,MATCH($E160,Requisitions!$A$2:$A$101,0)),""))</f>
        <v/>
      </c>
      <c r="H160" s="21"/>
      <c r="I160" s="21"/>
      <c r="J160" s="22"/>
      <c r="K160" s="21"/>
      <c r="L160" s="22"/>
      <c r="M160" s="25" t="str">
        <f aca="false">IF($K160="","",IFERROR(INDEX(Lists!$D$4:$D$14,MATCH($K160,Lists!$A$4:$A$14,0)),"Check stage"))</f>
        <v/>
      </c>
      <c r="N160" s="21"/>
      <c r="O160" s="21"/>
      <c r="P160" s="26"/>
      <c r="Q160" s="26"/>
      <c r="R160" s="21"/>
      <c r="S160" s="21"/>
      <c r="T160" s="22"/>
      <c r="U160" s="22"/>
      <c r="V160" s="24" t="str">
        <f aca="false">IF(OR(N($P160)=0,$Q160=""),"",$Q160/$P160-1)</f>
        <v/>
      </c>
      <c r="W160" s="25" t="str">
        <f aca="true">IF($J160="","",IF($M160="Active",TODAY(),IF($U160&lt;&gt;"",$U160,IF($L160&lt;&gt;"",$L160,TODAY())))-$J160)</f>
        <v/>
      </c>
      <c r="X160" s="25" t="str">
        <f aca="true">IF(OR($L160="",$M160&lt;&gt;"Active"),"",TODAY()-$L160)</f>
        <v/>
      </c>
      <c r="Y160" s="25" t="str">
        <f aca="false">IF($M160&lt;&gt;"Active","",INDEX(Lists!$C$4:$C$14,MATCH($K160,Lists!$A$4:$A$14,0)))</f>
        <v/>
      </c>
      <c r="Z160" s="25" t="str">
        <f aca="false">IF($B160="","",IF($M160&lt;&gt;"Active","Closed",IF($X160="","",IF($X160&gt;$Y160,"BREACH","On Track"))))</f>
        <v/>
      </c>
      <c r="AA160" s="25" t="str">
        <f aca="false">IF($K160="","",IFERROR(INDEX(Lists!$E$4:$E$14,MATCH($K160,Lists!$A$4:$A$14,0)),""))</f>
        <v/>
      </c>
      <c r="AB160" s="27" t="str">
        <f aca="false">IF($U160&lt;&gt;"",$U160,IF(OR($T160="",$M160&lt;&gt;"Active"),"",$T160+N($R160)))</f>
        <v/>
      </c>
      <c r="AC160" s="25" t="str">
        <f aca="false">IF(OR($T160="",$J160=""),"",$T160-$J160)</f>
        <v/>
      </c>
      <c r="AD160" s="25" t="str">
        <f aca="false">IF(AND($K160="Joined",$U160&lt;&gt;"",$J160&lt;&gt;""),$U160-$J160,"")</f>
        <v/>
      </c>
      <c r="AE160" s="25" t="str">
        <f aca="false">IF($K160="","",IF(OR($K160="Rejected",$K160="Withdrawn"),IFERROR(INDEX(Lists!$B$4:$B$14,MATCH($N160,Lists!$A$4:$A$14,0)),1),IFERROR(INDEX(Lists!$B$4:$B$14,MATCH($K160,Lists!$A$4:$A$14,0)),0)))</f>
        <v/>
      </c>
    </row>
    <row r="161" customFormat="false" ht="15" hidden="false" customHeight="false" outlineLevel="0" collapsed="false">
      <c r="A161" s="25" t="str">
        <f aca="false">IF($B161="","","C-"&amp;TEXT(ROW()-1,"0000"))</f>
        <v/>
      </c>
      <c r="B161" s="21"/>
      <c r="C161" s="21"/>
      <c r="D161" s="21"/>
      <c r="E161" s="21"/>
      <c r="F161" s="25" t="str">
        <f aca="false">IF($E161="","",IFERROR(INDEX(Requisitions!$B$2:$B$101,MATCH($E161,Requisitions!$A$2:$A$101,0)),"Unknown Req"))</f>
        <v/>
      </c>
      <c r="G161" s="25" t="str">
        <f aca="false">IF($E161="","",IFERROR(INDEX(Requisitions!$D$2:$D$101,MATCH($E161,Requisitions!$A$2:$A$101,0)),""))</f>
        <v/>
      </c>
      <c r="H161" s="21"/>
      <c r="I161" s="21"/>
      <c r="J161" s="22"/>
      <c r="K161" s="21"/>
      <c r="L161" s="22"/>
      <c r="M161" s="25" t="str">
        <f aca="false">IF($K161="","",IFERROR(INDEX(Lists!$D$4:$D$14,MATCH($K161,Lists!$A$4:$A$14,0)),"Check stage"))</f>
        <v/>
      </c>
      <c r="N161" s="21"/>
      <c r="O161" s="21"/>
      <c r="P161" s="26"/>
      <c r="Q161" s="26"/>
      <c r="R161" s="21"/>
      <c r="S161" s="21"/>
      <c r="T161" s="22"/>
      <c r="U161" s="22"/>
      <c r="V161" s="24" t="str">
        <f aca="false">IF(OR(N($P161)=0,$Q161=""),"",$Q161/$P161-1)</f>
        <v/>
      </c>
      <c r="W161" s="25" t="str">
        <f aca="true">IF($J161="","",IF($M161="Active",TODAY(),IF($U161&lt;&gt;"",$U161,IF($L161&lt;&gt;"",$L161,TODAY())))-$J161)</f>
        <v/>
      </c>
      <c r="X161" s="25" t="str">
        <f aca="true">IF(OR($L161="",$M161&lt;&gt;"Active"),"",TODAY()-$L161)</f>
        <v/>
      </c>
      <c r="Y161" s="25" t="str">
        <f aca="false">IF($M161&lt;&gt;"Active","",INDEX(Lists!$C$4:$C$14,MATCH($K161,Lists!$A$4:$A$14,0)))</f>
        <v/>
      </c>
      <c r="Z161" s="25" t="str">
        <f aca="false">IF($B161="","",IF($M161&lt;&gt;"Active","Closed",IF($X161="","",IF($X161&gt;$Y161,"BREACH","On Track"))))</f>
        <v/>
      </c>
      <c r="AA161" s="25" t="str">
        <f aca="false">IF($K161="","",IFERROR(INDEX(Lists!$E$4:$E$14,MATCH($K161,Lists!$A$4:$A$14,0)),""))</f>
        <v/>
      </c>
      <c r="AB161" s="27" t="str">
        <f aca="false">IF($U161&lt;&gt;"",$U161,IF(OR($T161="",$M161&lt;&gt;"Active"),"",$T161+N($R161)))</f>
        <v/>
      </c>
      <c r="AC161" s="25" t="str">
        <f aca="false">IF(OR($T161="",$J161=""),"",$T161-$J161)</f>
        <v/>
      </c>
      <c r="AD161" s="25" t="str">
        <f aca="false">IF(AND($K161="Joined",$U161&lt;&gt;"",$J161&lt;&gt;""),$U161-$J161,"")</f>
        <v/>
      </c>
      <c r="AE161" s="25" t="str">
        <f aca="false">IF($K161="","",IF(OR($K161="Rejected",$K161="Withdrawn"),IFERROR(INDEX(Lists!$B$4:$B$14,MATCH($N161,Lists!$A$4:$A$14,0)),1),IFERROR(INDEX(Lists!$B$4:$B$14,MATCH($K161,Lists!$A$4:$A$14,0)),0)))</f>
        <v/>
      </c>
    </row>
    <row r="162" customFormat="false" ht="15" hidden="false" customHeight="false" outlineLevel="0" collapsed="false">
      <c r="A162" s="25" t="str">
        <f aca="false">IF($B162="","","C-"&amp;TEXT(ROW()-1,"0000"))</f>
        <v/>
      </c>
      <c r="B162" s="21"/>
      <c r="C162" s="21"/>
      <c r="D162" s="21"/>
      <c r="E162" s="21"/>
      <c r="F162" s="25" t="str">
        <f aca="false">IF($E162="","",IFERROR(INDEX(Requisitions!$B$2:$B$101,MATCH($E162,Requisitions!$A$2:$A$101,0)),"Unknown Req"))</f>
        <v/>
      </c>
      <c r="G162" s="25" t="str">
        <f aca="false">IF($E162="","",IFERROR(INDEX(Requisitions!$D$2:$D$101,MATCH($E162,Requisitions!$A$2:$A$101,0)),""))</f>
        <v/>
      </c>
      <c r="H162" s="21"/>
      <c r="I162" s="21"/>
      <c r="J162" s="22"/>
      <c r="K162" s="21"/>
      <c r="L162" s="22"/>
      <c r="M162" s="25" t="str">
        <f aca="false">IF($K162="","",IFERROR(INDEX(Lists!$D$4:$D$14,MATCH($K162,Lists!$A$4:$A$14,0)),"Check stage"))</f>
        <v/>
      </c>
      <c r="N162" s="21"/>
      <c r="O162" s="21"/>
      <c r="P162" s="26"/>
      <c r="Q162" s="26"/>
      <c r="R162" s="21"/>
      <c r="S162" s="21"/>
      <c r="T162" s="22"/>
      <c r="U162" s="22"/>
      <c r="V162" s="24" t="str">
        <f aca="false">IF(OR(N($P162)=0,$Q162=""),"",$Q162/$P162-1)</f>
        <v/>
      </c>
      <c r="W162" s="25" t="str">
        <f aca="true">IF($J162="","",IF($M162="Active",TODAY(),IF($U162&lt;&gt;"",$U162,IF($L162&lt;&gt;"",$L162,TODAY())))-$J162)</f>
        <v/>
      </c>
      <c r="X162" s="25" t="str">
        <f aca="true">IF(OR($L162="",$M162&lt;&gt;"Active"),"",TODAY()-$L162)</f>
        <v/>
      </c>
      <c r="Y162" s="25" t="str">
        <f aca="false">IF($M162&lt;&gt;"Active","",INDEX(Lists!$C$4:$C$14,MATCH($K162,Lists!$A$4:$A$14,0)))</f>
        <v/>
      </c>
      <c r="Z162" s="25" t="str">
        <f aca="false">IF($B162="","",IF($M162&lt;&gt;"Active","Closed",IF($X162="","",IF($X162&gt;$Y162,"BREACH","On Track"))))</f>
        <v/>
      </c>
      <c r="AA162" s="25" t="str">
        <f aca="false">IF($K162="","",IFERROR(INDEX(Lists!$E$4:$E$14,MATCH($K162,Lists!$A$4:$A$14,0)),""))</f>
        <v/>
      </c>
      <c r="AB162" s="27" t="str">
        <f aca="false">IF($U162&lt;&gt;"",$U162,IF(OR($T162="",$M162&lt;&gt;"Active"),"",$T162+N($R162)))</f>
        <v/>
      </c>
      <c r="AC162" s="25" t="str">
        <f aca="false">IF(OR($T162="",$J162=""),"",$T162-$J162)</f>
        <v/>
      </c>
      <c r="AD162" s="25" t="str">
        <f aca="false">IF(AND($K162="Joined",$U162&lt;&gt;"",$J162&lt;&gt;""),$U162-$J162,"")</f>
        <v/>
      </c>
      <c r="AE162" s="25" t="str">
        <f aca="false">IF($K162="","",IF(OR($K162="Rejected",$K162="Withdrawn"),IFERROR(INDEX(Lists!$B$4:$B$14,MATCH($N162,Lists!$A$4:$A$14,0)),1),IFERROR(INDEX(Lists!$B$4:$B$14,MATCH($K162,Lists!$A$4:$A$14,0)),0)))</f>
        <v/>
      </c>
    </row>
    <row r="163" customFormat="false" ht="15" hidden="false" customHeight="false" outlineLevel="0" collapsed="false">
      <c r="A163" s="25" t="str">
        <f aca="false">IF($B163="","","C-"&amp;TEXT(ROW()-1,"0000"))</f>
        <v/>
      </c>
      <c r="B163" s="21"/>
      <c r="C163" s="21"/>
      <c r="D163" s="21"/>
      <c r="E163" s="21"/>
      <c r="F163" s="25" t="str">
        <f aca="false">IF($E163="","",IFERROR(INDEX(Requisitions!$B$2:$B$101,MATCH($E163,Requisitions!$A$2:$A$101,0)),"Unknown Req"))</f>
        <v/>
      </c>
      <c r="G163" s="25" t="str">
        <f aca="false">IF($E163="","",IFERROR(INDEX(Requisitions!$D$2:$D$101,MATCH($E163,Requisitions!$A$2:$A$101,0)),""))</f>
        <v/>
      </c>
      <c r="H163" s="21"/>
      <c r="I163" s="21"/>
      <c r="J163" s="22"/>
      <c r="K163" s="21"/>
      <c r="L163" s="22"/>
      <c r="M163" s="25" t="str">
        <f aca="false">IF($K163="","",IFERROR(INDEX(Lists!$D$4:$D$14,MATCH($K163,Lists!$A$4:$A$14,0)),"Check stage"))</f>
        <v/>
      </c>
      <c r="N163" s="21"/>
      <c r="O163" s="21"/>
      <c r="P163" s="26"/>
      <c r="Q163" s="26"/>
      <c r="R163" s="21"/>
      <c r="S163" s="21"/>
      <c r="T163" s="22"/>
      <c r="U163" s="22"/>
      <c r="V163" s="24" t="str">
        <f aca="false">IF(OR(N($P163)=0,$Q163=""),"",$Q163/$P163-1)</f>
        <v/>
      </c>
      <c r="W163" s="25" t="str">
        <f aca="true">IF($J163="","",IF($M163="Active",TODAY(),IF($U163&lt;&gt;"",$U163,IF($L163&lt;&gt;"",$L163,TODAY())))-$J163)</f>
        <v/>
      </c>
      <c r="X163" s="25" t="str">
        <f aca="true">IF(OR($L163="",$M163&lt;&gt;"Active"),"",TODAY()-$L163)</f>
        <v/>
      </c>
      <c r="Y163" s="25" t="str">
        <f aca="false">IF($M163&lt;&gt;"Active","",INDEX(Lists!$C$4:$C$14,MATCH($K163,Lists!$A$4:$A$14,0)))</f>
        <v/>
      </c>
      <c r="Z163" s="25" t="str">
        <f aca="false">IF($B163="","",IF($M163&lt;&gt;"Active","Closed",IF($X163="","",IF($X163&gt;$Y163,"BREACH","On Track"))))</f>
        <v/>
      </c>
      <c r="AA163" s="25" t="str">
        <f aca="false">IF($K163="","",IFERROR(INDEX(Lists!$E$4:$E$14,MATCH($K163,Lists!$A$4:$A$14,0)),""))</f>
        <v/>
      </c>
      <c r="AB163" s="27" t="str">
        <f aca="false">IF($U163&lt;&gt;"",$U163,IF(OR($T163="",$M163&lt;&gt;"Active"),"",$T163+N($R163)))</f>
        <v/>
      </c>
      <c r="AC163" s="25" t="str">
        <f aca="false">IF(OR($T163="",$J163=""),"",$T163-$J163)</f>
        <v/>
      </c>
      <c r="AD163" s="25" t="str">
        <f aca="false">IF(AND($K163="Joined",$U163&lt;&gt;"",$J163&lt;&gt;""),$U163-$J163,"")</f>
        <v/>
      </c>
      <c r="AE163" s="25" t="str">
        <f aca="false">IF($K163="","",IF(OR($K163="Rejected",$K163="Withdrawn"),IFERROR(INDEX(Lists!$B$4:$B$14,MATCH($N163,Lists!$A$4:$A$14,0)),1),IFERROR(INDEX(Lists!$B$4:$B$14,MATCH($K163,Lists!$A$4:$A$14,0)),0)))</f>
        <v/>
      </c>
    </row>
    <row r="164" customFormat="false" ht="15" hidden="false" customHeight="false" outlineLevel="0" collapsed="false">
      <c r="A164" s="25" t="str">
        <f aca="false">IF($B164="","","C-"&amp;TEXT(ROW()-1,"0000"))</f>
        <v/>
      </c>
      <c r="B164" s="21"/>
      <c r="C164" s="21"/>
      <c r="D164" s="21"/>
      <c r="E164" s="21"/>
      <c r="F164" s="25" t="str">
        <f aca="false">IF($E164="","",IFERROR(INDEX(Requisitions!$B$2:$B$101,MATCH($E164,Requisitions!$A$2:$A$101,0)),"Unknown Req"))</f>
        <v/>
      </c>
      <c r="G164" s="25" t="str">
        <f aca="false">IF($E164="","",IFERROR(INDEX(Requisitions!$D$2:$D$101,MATCH($E164,Requisitions!$A$2:$A$101,0)),""))</f>
        <v/>
      </c>
      <c r="H164" s="21"/>
      <c r="I164" s="21"/>
      <c r="J164" s="22"/>
      <c r="K164" s="21"/>
      <c r="L164" s="22"/>
      <c r="M164" s="25" t="str">
        <f aca="false">IF($K164="","",IFERROR(INDEX(Lists!$D$4:$D$14,MATCH($K164,Lists!$A$4:$A$14,0)),"Check stage"))</f>
        <v/>
      </c>
      <c r="N164" s="21"/>
      <c r="O164" s="21"/>
      <c r="P164" s="26"/>
      <c r="Q164" s="26"/>
      <c r="R164" s="21"/>
      <c r="S164" s="21"/>
      <c r="T164" s="22"/>
      <c r="U164" s="22"/>
      <c r="V164" s="24" t="str">
        <f aca="false">IF(OR(N($P164)=0,$Q164=""),"",$Q164/$P164-1)</f>
        <v/>
      </c>
      <c r="W164" s="25" t="str">
        <f aca="true">IF($J164="","",IF($M164="Active",TODAY(),IF($U164&lt;&gt;"",$U164,IF($L164&lt;&gt;"",$L164,TODAY())))-$J164)</f>
        <v/>
      </c>
      <c r="X164" s="25" t="str">
        <f aca="true">IF(OR($L164="",$M164&lt;&gt;"Active"),"",TODAY()-$L164)</f>
        <v/>
      </c>
      <c r="Y164" s="25" t="str">
        <f aca="false">IF($M164&lt;&gt;"Active","",INDEX(Lists!$C$4:$C$14,MATCH($K164,Lists!$A$4:$A$14,0)))</f>
        <v/>
      </c>
      <c r="Z164" s="25" t="str">
        <f aca="false">IF($B164="","",IF($M164&lt;&gt;"Active","Closed",IF($X164="","",IF($X164&gt;$Y164,"BREACH","On Track"))))</f>
        <v/>
      </c>
      <c r="AA164" s="25" t="str">
        <f aca="false">IF($K164="","",IFERROR(INDEX(Lists!$E$4:$E$14,MATCH($K164,Lists!$A$4:$A$14,0)),""))</f>
        <v/>
      </c>
      <c r="AB164" s="27" t="str">
        <f aca="false">IF($U164&lt;&gt;"",$U164,IF(OR($T164="",$M164&lt;&gt;"Active"),"",$T164+N($R164)))</f>
        <v/>
      </c>
      <c r="AC164" s="25" t="str">
        <f aca="false">IF(OR($T164="",$J164=""),"",$T164-$J164)</f>
        <v/>
      </c>
      <c r="AD164" s="25" t="str">
        <f aca="false">IF(AND($K164="Joined",$U164&lt;&gt;"",$J164&lt;&gt;""),$U164-$J164,"")</f>
        <v/>
      </c>
      <c r="AE164" s="25" t="str">
        <f aca="false">IF($K164="","",IF(OR($K164="Rejected",$K164="Withdrawn"),IFERROR(INDEX(Lists!$B$4:$B$14,MATCH($N164,Lists!$A$4:$A$14,0)),1),IFERROR(INDEX(Lists!$B$4:$B$14,MATCH($K164,Lists!$A$4:$A$14,0)),0)))</f>
        <v/>
      </c>
    </row>
    <row r="165" customFormat="false" ht="15" hidden="false" customHeight="false" outlineLevel="0" collapsed="false">
      <c r="A165" s="25" t="str">
        <f aca="false">IF($B165="","","C-"&amp;TEXT(ROW()-1,"0000"))</f>
        <v/>
      </c>
      <c r="B165" s="21"/>
      <c r="C165" s="21"/>
      <c r="D165" s="21"/>
      <c r="E165" s="21"/>
      <c r="F165" s="25" t="str">
        <f aca="false">IF($E165="","",IFERROR(INDEX(Requisitions!$B$2:$B$101,MATCH($E165,Requisitions!$A$2:$A$101,0)),"Unknown Req"))</f>
        <v/>
      </c>
      <c r="G165" s="25" t="str">
        <f aca="false">IF($E165="","",IFERROR(INDEX(Requisitions!$D$2:$D$101,MATCH($E165,Requisitions!$A$2:$A$101,0)),""))</f>
        <v/>
      </c>
      <c r="H165" s="21"/>
      <c r="I165" s="21"/>
      <c r="J165" s="22"/>
      <c r="K165" s="21"/>
      <c r="L165" s="22"/>
      <c r="M165" s="25" t="str">
        <f aca="false">IF($K165="","",IFERROR(INDEX(Lists!$D$4:$D$14,MATCH($K165,Lists!$A$4:$A$14,0)),"Check stage"))</f>
        <v/>
      </c>
      <c r="N165" s="21"/>
      <c r="O165" s="21"/>
      <c r="P165" s="26"/>
      <c r="Q165" s="26"/>
      <c r="R165" s="21"/>
      <c r="S165" s="21"/>
      <c r="T165" s="22"/>
      <c r="U165" s="22"/>
      <c r="V165" s="24" t="str">
        <f aca="false">IF(OR(N($P165)=0,$Q165=""),"",$Q165/$P165-1)</f>
        <v/>
      </c>
      <c r="W165" s="25" t="str">
        <f aca="true">IF($J165="","",IF($M165="Active",TODAY(),IF($U165&lt;&gt;"",$U165,IF($L165&lt;&gt;"",$L165,TODAY())))-$J165)</f>
        <v/>
      </c>
      <c r="X165" s="25" t="str">
        <f aca="true">IF(OR($L165="",$M165&lt;&gt;"Active"),"",TODAY()-$L165)</f>
        <v/>
      </c>
      <c r="Y165" s="25" t="str">
        <f aca="false">IF($M165&lt;&gt;"Active","",INDEX(Lists!$C$4:$C$14,MATCH($K165,Lists!$A$4:$A$14,0)))</f>
        <v/>
      </c>
      <c r="Z165" s="25" t="str">
        <f aca="false">IF($B165="","",IF($M165&lt;&gt;"Active","Closed",IF($X165="","",IF($X165&gt;$Y165,"BREACH","On Track"))))</f>
        <v/>
      </c>
      <c r="AA165" s="25" t="str">
        <f aca="false">IF($K165="","",IFERROR(INDEX(Lists!$E$4:$E$14,MATCH($K165,Lists!$A$4:$A$14,0)),""))</f>
        <v/>
      </c>
      <c r="AB165" s="27" t="str">
        <f aca="false">IF($U165&lt;&gt;"",$U165,IF(OR($T165="",$M165&lt;&gt;"Active"),"",$T165+N($R165)))</f>
        <v/>
      </c>
      <c r="AC165" s="25" t="str">
        <f aca="false">IF(OR($T165="",$J165=""),"",$T165-$J165)</f>
        <v/>
      </c>
      <c r="AD165" s="25" t="str">
        <f aca="false">IF(AND($K165="Joined",$U165&lt;&gt;"",$J165&lt;&gt;""),$U165-$J165,"")</f>
        <v/>
      </c>
      <c r="AE165" s="25" t="str">
        <f aca="false">IF($K165="","",IF(OR($K165="Rejected",$K165="Withdrawn"),IFERROR(INDEX(Lists!$B$4:$B$14,MATCH($N165,Lists!$A$4:$A$14,0)),1),IFERROR(INDEX(Lists!$B$4:$B$14,MATCH($K165,Lists!$A$4:$A$14,0)),0)))</f>
        <v/>
      </c>
    </row>
    <row r="166" customFormat="false" ht="15" hidden="false" customHeight="false" outlineLevel="0" collapsed="false">
      <c r="A166" s="25" t="str">
        <f aca="false">IF($B166="","","C-"&amp;TEXT(ROW()-1,"0000"))</f>
        <v/>
      </c>
      <c r="B166" s="21"/>
      <c r="C166" s="21"/>
      <c r="D166" s="21"/>
      <c r="E166" s="21"/>
      <c r="F166" s="25" t="str">
        <f aca="false">IF($E166="","",IFERROR(INDEX(Requisitions!$B$2:$B$101,MATCH($E166,Requisitions!$A$2:$A$101,0)),"Unknown Req"))</f>
        <v/>
      </c>
      <c r="G166" s="25" t="str">
        <f aca="false">IF($E166="","",IFERROR(INDEX(Requisitions!$D$2:$D$101,MATCH($E166,Requisitions!$A$2:$A$101,0)),""))</f>
        <v/>
      </c>
      <c r="H166" s="21"/>
      <c r="I166" s="21"/>
      <c r="J166" s="22"/>
      <c r="K166" s="21"/>
      <c r="L166" s="22"/>
      <c r="M166" s="25" t="str">
        <f aca="false">IF($K166="","",IFERROR(INDEX(Lists!$D$4:$D$14,MATCH($K166,Lists!$A$4:$A$14,0)),"Check stage"))</f>
        <v/>
      </c>
      <c r="N166" s="21"/>
      <c r="O166" s="21"/>
      <c r="P166" s="26"/>
      <c r="Q166" s="26"/>
      <c r="R166" s="21"/>
      <c r="S166" s="21"/>
      <c r="T166" s="22"/>
      <c r="U166" s="22"/>
      <c r="V166" s="24" t="str">
        <f aca="false">IF(OR(N($P166)=0,$Q166=""),"",$Q166/$P166-1)</f>
        <v/>
      </c>
      <c r="W166" s="25" t="str">
        <f aca="true">IF($J166="","",IF($M166="Active",TODAY(),IF($U166&lt;&gt;"",$U166,IF($L166&lt;&gt;"",$L166,TODAY())))-$J166)</f>
        <v/>
      </c>
      <c r="X166" s="25" t="str">
        <f aca="true">IF(OR($L166="",$M166&lt;&gt;"Active"),"",TODAY()-$L166)</f>
        <v/>
      </c>
      <c r="Y166" s="25" t="str">
        <f aca="false">IF($M166&lt;&gt;"Active","",INDEX(Lists!$C$4:$C$14,MATCH($K166,Lists!$A$4:$A$14,0)))</f>
        <v/>
      </c>
      <c r="Z166" s="25" t="str">
        <f aca="false">IF($B166="","",IF($M166&lt;&gt;"Active","Closed",IF($X166="","",IF($X166&gt;$Y166,"BREACH","On Track"))))</f>
        <v/>
      </c>
      <c r="AA166" s="25" t="str">
        <f aca="false">IF($K166="","",IFERROR(INDEX(Lists!$E$4:$E$14,MATCH($K166,Lists!$A$4:$A$14,0)),""))</f>
        <v/>
      </c>
      <c r="AB166" s="27" t="str">
        <f aca="false">IF($U166&lt;&gt;"",$U166,IF(OR($T166="",$M166&lt;&gt;"Active"),"",$T166+N($R166)))</f>
        <v/>
      </c>
      <c r="AC166" s="25" t="str">
        <f aca="false">IF(OR($T166="",$J166=""),"",$T166-$J166)</f>
        <v/>
      </c>
      <c r="AD166" s="25" t="str">
        <f aca="false">IF(AND($K166="Joined",$U166&lt;&gt;"",$J166&lt;&gt;""),$U166-$J166,"")</f>
        <v/>
      </c>
      <c r="AE166" s="25" t="str">
        <f aca="false">IF($K166="","",IF(OR($K166="Rejected",$K166="Withdrawn"),IFERROR(INDEX(Lists!$B$4:$B$14,MATCH($N166,Lists!$A$4:$A$14,0)),1),IFERROR(INDEX(Lists!$B$4:$B$14,MATCH($K166,Lists!$A$4:$A$14,0)),0)))</f>
        <v/>
      </c>
    </row>
    <row r="167" customFormat="false" ht="15" hidden="false" customHeight="false" outlineLevel="0" collapsed="false">
      <c r="A167" s="25" t="str">
        <f aca="false">IF($B167="","","C-"&amp;TEXT(ROW()-1,"0000"))</f>
        <v/>
      </c>
      <c r="B167" s="21"/>
      <c r="C167" s="21"/>
      <c r="D167" s="21"/>
      <c r="E167" s="21"/>
      <c r="F167" s="25" t="str">
        <f aca="false">IF($E167="","",IFERROR(INDEX(Requisitions!$B$2:$B$101,MATCH($E167,Requisitions!$A$2:$A$101,0)),"Unknown Req"))</f>
        <v/>
      </c>
      <c r="G167" s="25" t="str">
        <f aca="false">IF($E167="","",IFERROR(INDEX(Requisitions!$D$2:$D$101,MATCH($E167,Requisitions!$A$2:$A$101,0)),""))</f>
        <v/>
      </c>
      <c r="H167" s="21"/>
      <c r="I167" s="21"/>
      <c r="J167" s="22"/>
      <c r="K167" s="21"/>
      <c r="L167" s="22"/>
      <c r="M167" s="25" t="str">
        <f aca="false">IF($K167="","",IFERROR(INDEX(Lists!$D$4:$D$14,MATCH($K167,Lists!$A$4:$A$14,0)),"Check stage"))</f>
        <v/>
      </c>
      <c r="N167" s="21"/>
      <c r="O167" s="21"/>
      <c r="P167" s="26"/>
      <c r="Q167" s="26"/>
      <c r="R167" s="21"/>
      <c r="S167" s="21"/>
      <c r="T167" s="22"/>
      <c r="U167" s="22"/>
      <c r="V167" s="24" t="str">
        <f aca="false">IF(OR(N($P167)=0,$Q167=""),"",$Q167/$P167-1)</f>
        <v/>
      </c>
      <c r="W167" s="25" t="str">
        <f aca="true">IF($J167="","",IF($M167="Active",TODAY(),IF($U167&lt;&gt;"",$U167,IF($L167&lt;&gt;"",$L167,TODAY())))-$J167)</f>
        <v/>
      </c>
      <c r="X167" s="25" t="str">
        <f aca="true">IF(OR($L167="",$M167&lt;&gt;"Active"),"",TODAY()-$L167)</f>
        <v/>
      </c>
      <c r="Y167" s="25" t="str">
        <f aca="false">IF($M167&lt;&gt;"Active","",INDEX(Lists!$C$4:$C$14,MATCH($K167,Lists!$A$4:$A$14,0)))</f>
        <v/>
      </c>
      <c r="Z167" s="25" t="str">
        <f aca="false">IF($B167="","",IF($M167&lt;&gt;"Active","Closed",IF($X167="","",IF($X167&gt;$Y167,"BREACH","On Track"))))</f>
        <v/>
      </c>
      <c r="AA167" s="25" t="str">
        <f aca="false">IF($K167="","",IFERROR(INDEX(Lists!$E$4:$E$14,MATCH($K167,Lists!$A$4:$A$14,0)),""))</f>
        <v/>
      </c>
      <c r="AB167" s="27" t="str">
        <f aca="false">IF($U167&lt;&gt;"",$U167,IF(OR($T167="",$M167&lt;&gt;"Active"),"",$T167+N($R167)))</f>
        <v/>
      </c>
      <c r="AC167" s="25" t="str">
        <f aca="false">IF(OR($T167="",$J167=""),"",$T167-$J167)</f>
        <v/>
      </c>
      <c r="AD167" s="25" t="str">
        <f aca="false">IF(AND($K167="Joined",$U167&lt;&gt;"",$J167&lt;&gt;""),$U167-$J167,"")</f>
        <v/>
      </c>
      <c r="AE167" s="25" t="str">
        <f aca="false">IF($K167="","",IF(OR($K167="Rejected",$K167="Withdrawn"),IFERROR(INDEX(Lists!$B$4:$B$14,MATCH($N167,Lists!$A$4:$A$14,0)),1),IFERROR(INDEX(Lists!$B$4:$B$14,MATCH($K167,Lists!$A$4:$A$14,0)),0)))</f>
        <v/>
      </c>
    </row>
    <row r="168" customFormat="false" ht="15" hidden="false" customHeight="false" outlineLevel="0" collapsed="false">
      <c r="A168" s="25" t="str">
        <f aca="false">IF($B168="","","C-"&amp;TEXT(ROW()-1,"0000"))</f>
        <v/>
      </c>
      <c r="B168" s="21"/>
      <c r="C168" s="21"/>
      <c r="D168" s="21"/>
      <c r="E168" s="21"/>
      <c r="F168" s="25" t="str">
        <f aca="false">IF($E168="","",IFERROR(INDEX(Requisitions!$B$2:$B$101,MATCH($E168,Requisitions!$A$2:$A$101,0)),"Unknown Req"))</f>
        <v/>
      </c>
      <c r="G168" s="25" t="str">
        <f aca="false">IF($E168="","",IFERROR(INDEX(Requisitions!$D$2:$D$101,MATCH($E168,Requisitions!$A$2:$A$101,0)),""))</f>
        <v/>
      </c>
      <c r="H168" s="21"/>
      <c r="I168" s="21"/>
      <c r="J168" s="22"/>
      <c r="K168" s="21"/>
      <c r="L168" s="22"/>
      <c r="M168" s="25" t="str">
        <f aca="false">IF($K168="","",IFERROR(INDEX(Lists!$D$4:$D$14,MATCH($K168,Lists!$A$4:$A$14,0)),"Check stage"))</f>
        <v/>
      </c>
      <c r="N168" s="21"/>
      <c r="O168" s="21"/>
      <c r="P168" s="26"/>
      <c r="Q168" s="26"/>
      <c r="R168" s="21"/>
      <c r="S168" s="21"/>
      <c r="T168" s="22"/>
      <c r="U168" s="22"/>
      <c r="V168" s="24" t="str">
        <f aca="false">IF(OR(N($P168)=0,$Q168=""),"",$Q168/$P168-1)</f>
        <v/>
      </c>
      <c r="W168" s="25" t="str">
        <f aca="true">IF($J168="","",IF($M168="Active",TODAY(),IF($U168&lt;&gt;"",$U168,IF($L168&lt;&gt;"",$L168,TODAY())))-$J168)</f>
        <v/>
      </c>
      <c r="X168" s="25" t="str">
        <f aca="true">IF(OR($L168="",$M168&lt;&gt;"Active"),"",TODAY()-$L168)</f>
        <v/>
      </c>
      <c r="Y168" s="25" t="str">
        <f aca="false">IF($M168&lt;&gt;"Active","",INDEX(Lists!$C$4:$C$14,MATCH($K168,Lists!$A$4:$A$14,0)))</f>
        <v/>
      </c>
      <c r="Z168" s="25" t="str">
        <f aca="false">IF($B168="","",IF($M168&lt;&gt;"Active","Closed",IF($X168="","",IF($X168&gt;$Y168,"BREACH","On Track"))))</f>
        <v/>
      </c>
      <c r="AA168" s="25" t="str">
        <f aca="false">IF($K168="","",IFERROR(INDEX(Lists!$E$4:$E$14,MATCH($K168,Lists!$A$4:$A$14,0)),""))</f>
        <v/>
      </c>
      <c r="AB168" s="27" t="str">
        <f aca="false">IF($U168&lt;&gt;"",$U168,IF(OR($T168="",$M168&lt;&gt;"Active"),"",$T168+N($R168)))</f>
        <v/>
      </c>
      <c r="AC168" s="25" t="str">
        <f aca="false">IF(OR($T168="",$J168=""),"",$T168-$J168)</f>
        <v/>
      </c>
      <c r="AD168" s="25" t="str">
        <f aca="false">IF(AND($K168="Joined",$U168&lt;&gt;"",$J168&lt;&gt;""),$U168-$J168,"")</f>
        <v/>
      </c>
      <c r="AE168" s="25" t="str">
        <f aca="false">IF($K168="","",IF(OR($K168="Rejected",$K168="Withdrawn"),IFERROR(INDEX(Lists!$B$4:$B$14,MATCH($N168,Lists!$A$4:$A$14,0)),1),IFERROR(INDEX(Lists!$B$4:$B$14,MATCH($K168,Lists!$A$4:$A$14,0)),0)))</f>
        <v/>
      </c>
    </row>
    <row r="169" customFormat="false" ht="15" hidden="false" customHeight="false" outlineLevel="0" collapsed="false">
      <c r="A169" s="25" t="str">
        <f aca="false">IF($B169="","","C-"&amp;TEXT(ROW()-1,"0000"))</f>
        <v/>
      </c>
      <c r="B169" s="21"/>
      <c r="C169" s="21"/>
      <c r="D169" s="21"/>
      <c r="E169" s="21"/>
      <c r="F169" s="25" t="str">
        <f aca="false">IF($E169="","",IFERROR(INDEX(Requisitions!$B$2:$B$101,MATCH($E169,Requisitions!$A$2:$A$101,0)),"Unknown Req"))</f>
        <v/>
      </c>
      <c r="G169" s="25" t="str">
        <f aca="false">IF($E169="","",IFERROR(INDEX(Requisitions!$D$2:$D$101,MATCH($E169,Requisitions!$A$2:$A$101,0)),""))</f>
        <v/>
      </c>
      <c r="H169" s="21"/>
      <c r="I169" s="21"/>
      <c r="J169" s="22"/>
      <c r="K169" s="21"/>
      <c r="L169" s="22"/>
      <c r="M169" s="25" t="str">
        <f aca="false">IF($K169="","",IFERROR(INDEX(Lists!$D$4:$D$14,MATCH($K169,Lists!$A$4:$A$14,0)),"Check stage"))</f>
        <v/>
      </c>
      <c r="N169" s="21"/>
      <c r="O169" s="21"/>
      <c r="P169" s="26"/>
      <c r="Q169" s="26"/>
      <c r="R169" s="21"/>
      <c r="S169" s="21"/>
      <c r="T169" s="22"/>
      <c r="U169" s="22"/>
      <c r="V169" s="24" t="str">
        <f aca="false">IF(OR(N($P169)=0,$Q169=""),"",$Q169/$P169-1)</f>
        <v/>
      </c>
      <c r="W169" s="25" t="str">
        <f aca="true">IF($J169="","",IF($M169="Active",TODAY(),IF($U169&lt;&gt;"",$U169,IF($L169&lt;&gt;"",$L169,TODAY())))-$J169)</f>
        <v/>
      </c>
      <c r="X169" s="25" t="str">
        <f aca="true">IF(OR($L169="",$M169&lt;&gt;"Active"),"",TODAY()-$L169)</f>
        <v/>
      </c>
      <c r="Y169" s="25" t="str">
        <f aca="false">IF($M169&lt;&gt;"Active","",INDEX(Lists!$C$4:$C$14,MATCH($K169,Lists!$A$4:$A$14,0)))</f>
        <v/>
      </c>
      <c r="Z169" s="25" t="str">
        <f aca="false">IF($B169="","",IF($M169&lt;&gt;"Active","Closed",IF($X169="","",IF($X169&gt;$Y169,"BREACH","On Track"))))</f>
        <v/>
      </c>
      <c r="AA169" s="25" t="str">
        <f aca="false">IF($K169="","",IFERROR(INDEX(Lists!$E$4:$E$14,MATCH($K169,Lists!$A$4:$A$14,0)),""))</f>
        <v/>
      </c>
      <c r="AB169" s="27" t="str">
        <f aca="false">IF($U169&lt;&gt;"",$U169,IF(OR($T169="",$M169&lt;&gt;"Active"),"",$T169+N($R169)))</f>
        <v/>
      </c>
      <c r="AC169" s="25" t="str">
        <f aca="false">IF(OR($T169="",$J169=""),"",$T169-$J169)</f>
        <v/>
      </c>
      <c r="AD169" s="25" t="str">
        <f aca="false">IF(AND($K169="Joined",$U169&lt;&gt;"",$J169&lt;&gt;""),$U169-$J169,"")</f>
        <v/>
      </c>
      <c r="AE169" s="25" t="str">
        <f aca="false">IF($K169="","",IF(OR($K169="Rejected",$K169="Withdrawn"),IFERROR(INDEX(Lists!$B$4:$B$14,MATCH($N169,Lists!$A$4:$A$14,0)),1),IFERROR(INDEX(Lists!$B$4:$B$14,MATCH($K169,Lists!$A$4:$A$14,0)),0)))</f>
        <v/>
      </c>
    </row>
    <row r="170" customFormat="false" ht="15" hidden="false" customHeight="false" outlineLevel="0" collapsed="false">
      <c r="A170" s="25" t="str">
        <f aca="false">IF($B170="","","C-"&amp;TEXT(ROW()-1,"0000"))</f>
        <v/>
      </c>
      <c r="B170" s="21"/>
      <c r="C170" s="21"/>
      <c r="D170" s="21"/>
      <c r="E170" s="21"/>
      <c r="F170" s="25" t="str">
        <f aca="false">IF($E170="","",IFERROR(INDEX(Requisitions!$B$2:$B$101,MATCH($E170,Requisitions!$A$2:$A$101,0)),"Unknown Req"))</f>
        <v/>
      </c>
      <c r="G170" s="25" t="str">
        <f aca="false">IF($E170="","",IFERROR(INDEX(Requisitions!$D$2:$D$101,MATCH($E170,Requisitions!$A$2:$A$101,0)),""))</f>
        <v/>
      </c>
      <c r="H170" s="21"/>
      <c r="I170" s="21"/>
      <c r="J170" s="22"/>
      <c r="K170" s="21"/>
      <c r="L170" s="22"/>
      <c r="M170" s="25" t="str">
        <f aca="false">IF($K170="","",IFERROR(INDEX(Lists!$D$4:$D$14,MATCH($K170,Lists!$A$4:$A$14,0)),"Check stage"))</f>
        <v/>
      </c>
      <c r="N170" s="21"/>
      <c r="O170" s="21"/>
      <c r="P170" s="26"/>
      <c r="Q170" s="26"/>
      <c r="R170" s="21"/>
      <c r="S170" s="21"/>
      <c r="T170" s="22"/>
      <c r="U170" s="22"/>
      <c r="V170" s="24" t="str">
        <f aca="false">IF(OR(N($P170)=0,$Q170=""),"",$Q170/$P170-1)</f>
        <v/>
      </c>
      <c r="W170" s="25" t="str">
        <f aca="true">IF($J170="","",IF($M170="Active",TODAY(),IF($U170&lt;&gt;"",$U170,IF($L170&lt;&gt;"",$L170,TODAY())))-$J170)</f>
        <v/>
      </c>
      <c r="X170" s="25" t="str">
        <f aca="true">IF(OR($L170="",$M170&lt;&gt;"Active"),"",TODAY()-$L170)</f>
        <v/>
      </c>
      <c r="Y170" s="25" t="str">
        <f aca="false">IF($M170&lt;&gt;"Active","",INDEX(Lists!$C$4:$C$14,MATCH($K170,Lists!$A$4:$A$14,0)))</f>
        <v/>
      </c>
      <c r="Z170" s="25" t="str">
        <f aca="false">IF($B170="","",IF($M170&lt;&gt;"Active","Closed",IF($X170="","",IF($X170&gt;$Y170,"BREACH","On Track"))))</f>
        <v/>
      </c>
      <c r="AA170" s="25" t="str">
        <f aca="false">IF($K170="","",IFERROR(INDEX(Lists!$E$4:$E$14,MATCH($K170,Lists!$A$4:$A$14,0)),""))</f>
        <v/>
      </c>
      <c r="AB170" s="27" t="str">
        <f aca="false">IF($U170&lt;&gt;"",$U170,IF(OR($T170="",$M170&lt;&gt;"Active"),"",$T170+N($R170)))</f>
        <v/>
      </c>
      <c r="AC170" s="25" t="str">
        <f aca="false">IF(OR($T170="",$J170=""),"",$T170-$J170)</f>
        <v/>
      </c>
      <c r="AD170" s="25" t="str">
        <f aca="false">IF(AND($K170="Joined",$U170&lt;&gt;"",$J170&lt;&gt;""),$U170-$J170,"")</f>
        <v/>
      </c>
      <c r="AE170" s="25" t="str">
        <f aca="false">IF($K170="","",IF(OR($K170="Rejected",$K170="Withdrawn"),IFERROR(INDEX(Lists!$B$4:$B$14,MATCH($N170,Lists!$A$4:$A$14,0)),1),IFERROR(INDEX(Lists!$B$4:$B$14,MATCH($K170,Lists!$A$4:$A$14,0)),0)))</f>
        <v/>
      </c>
    </row>
    <row r="171" customFormat="false" ht="15" hidden="false" customHeight="false" outlineLevel="0" collapsed="false">
      <c r="A171" s="25" t="str">
        <f aca="false">IF($B171="","","C-"&amp;TEXT(ROW()-1,"0000"))</f>
        <v/>
      </c>
      <c r="B171" s="21"/>
      <c r="C171" s="21"/>
      <c r="D171" s="21"/>
      <c r="E171" s="21"/>
      <c r="F171" s="25" t="str">
        <f aca="false">IF($E171="","",IFERROR(INDEX(Requisitions!$B$2:$B$101,MATCH($E171,Requisitions!$A$2:$A$101,0)),"Unknown Req"))</f>
        <v/>
      </c>
      <c r="G171" s="25" t="str">
        <f aca="false">IF($E171="","",IFERROR(INDEX(Requisitions!$D$2:$D$101,MATCH($E171,Requisitions!$A$2:$A$101,0)),""))</f>
        <v/>
      </c>
      <c r="H171" s="21"/>
      <c r="I171" s="21"/>
      <c r="J171" s="22"/>
      <c r="K171" s="21"/>
      <c r="L171" s="22"/>
      <c r="M171" s="25" t="str">
        <f aca="false">IF($K171="","",IFERROR(INDEX(Lists!$D$4:$D$14,MATCH($K171,Lists!$A$4:$A$14,0)),"Check stage"))</f>
        <v/>
      </c>
      <c r="N171" s="21"/>
      <c r="O171" s="21"/>
      <c r="P171" s="26"/>
      <c r="Q171" s="26"/>
      <c r="R171" s="21"/>
      <c r="S171" s="21"/>
      <c r="T171" s="22"/>
      <c r="U171" s="22"/>
      <c r="V171" s="24" t="str">
        <f aca="false">IF(OR(N($P171)=0,$Q171=""),"",$Q171/$P171-1)</f>
        <v/>
      </c>
      <c r="W171" s="25" t="str">
        <f aca="true">IF($J171="","",IF($M171="Active",TODAY(),IF($U171&lt;&gt;"",$U171,IF($L171&lt;&gt;"",$L171,TODAY())))-$J171)</f>
        <v/>
      </c>
      <c r="X171" s="25" t="str">
        <f aca="true">IF(OR($L171="",$M171&lt;&gt;"Active"),"",TODAY()-$L171)</f>
        <v/>
      </c>
      <c r="Y171" s="25" t="str">
        <f aca="false">IF($M171&lt;&gt;"Active","",INDEX(Lists!$C$4:$C$14,MATCH($K171,Lists!$A$4:$A$14,0)))</f>
        <v/>
      </c>
      <c r="Z171" s="25" t="str">
        <f aca="false">IF($B171="","",IF($M171&lt;&gt;"Active","Closed",IF($X171="","",IF($X171&gt;$Y171,"BREACH","On Track"))))</f>
        <v/>
      </c>
      <c r="AA171" s="25" t="str">
        <f aca="false">IF($K171="","",IFERROR(INDEX(Lists!$E$4:$E$14,MATCH($K171,Lists!$A$4:$A$14,0)),""))</f>
        <v/>
      </c>
      <c r="AB171" s="27" t="str">
        <f aca="false">IF($U171&lt;&gt;"",$U171,IF(OR($T171="",$M171&lt;&gt;"Active"),"",$T171+N($R171)))</f>
        <v/>
      </c>
      <c r="AC171" s="25" t="str">
        <f aca="false">IF(OR($T171="",$J171=""),"",$T171-$J171)</f>
        <v/>
      </c>
      <c r="AD171" s="25" t="str">
        <f aca="false">IF(AND($K171="Joined",$U171&lt;&gt;"",$J171&lt;&gt;""),$U171-$J171,"")</f>
        <v/>
      </c>
      <c r="AE171" s="25" t="str">
        <f aca="false">IF($K171="","",IF(OR($K171="Rejected",$K171="Withdrawn"),IFERROR(INDEX(Lists!$B$4:$B$14,MATCH($N171,Lists!$A$4:$A$14,0)),1),IFERROR(INDEX(Lists!$B$4:$B$14,MATCH($K171,Lists!$A$4:$A$14,0)),0)))</f>
        <v/>
      </c>
    </row>
    <row r="172" customFormat="false" ht="15" hidden="false" customHeight="false" outlineLevel="0" collapsed="false">
      <c r="A172" s="25" t="str">
        <f aca="false">IF($B172="","","C-"&amp;TEXT(ROW()-1,"0000"))</f>
        <v/>
      </c>
      <c r="B172" s="21"/>
      <c r="C172" s="21"/>
      <c r="D172" s="21"/>
      <c r="E172" s="21"/>
      <c r="F172" s="25" t="str">
        <f aca="false">IF($E172="","",IFERROR(INDEX(Requisitions!$B$2:$B$101,MATCH($E172,Requisitions!$A$2:$A$101,0)),"Unknown Req"))</f>
        <v/>
      </c>
      <c r="G172" s="25" t="str">
        <f aca="false">IF($E172="","",IFERROR(INDEX(Requisitions!$D$2:$D$101,MATCH($E172,Requisitions!$A$2:$A$101,0)),""))</f>
        <v/>
      </c>
      <c r="H172" s="21"/>
      <c r="I172" s="21"/>
      <c r="J172" s="22"/>
      <c r="K172" s="21"/>
      <c r="L172" s="22"/>
      <c r="M172" s="25" t="str">
        <f aca="false">IF($K172="","",IFERROR(INDEX(Lists!$D$4:$D$14,MATCH($K172,Lists!$A$4:$A$14,0)),"Check stage"))</f>
        <v/>
      </c>
      <c r="N172" s="21"/>
      <c r="O172" s="21"/>
      <c r="P172" s="26"/>
      <c r="Q172" s="26"/>
      <c r="R172" s="21"/>
      <c r="S172" s="21"/>
      <c r="T172" s="22"/>
      <c r="U172" s="22"/>
      <c r="V172" s="24" t="str">
        <f aca="false">IF(OR(N($P172)=0,$Q172=""),"",$Q172/$P172-1)</f>
        <v/>
      </c>
      <c r="W172" s="25" t="str">
        <f aca="true">IF($J172="","",IF($M172="Active",TODAY(),IF($U172&lt;&gt;"",$U172,IF($L172&lt;&gt;"",$L172,TODAY())))-$J172)</f>
        <v/>
      </c>
      <c r="X172" s="25" t="str">
        <f aca="true">IF(OR($L172="",$M172&lt;&gt;"Active"),"",TODAY()-$L172)</f>
        <v/>
      </c>
      <c r="Y172" s="25" t="str">
        <f aca="false">IF($M172&lt;&gt;"Active","",INDEX(Lists!$C$4:$C$14,MATCH($K172,Lists!$A$4:$A$14,0)))</f>
        <v/>
      </c>
      <c r="Z172" s="25" t="str">
        <f aca="false">IF($B172="","",IF($M172&lt;&gt;"Active","Closed",IF($X172="","",IF($X172&gt;$Y172,"BREACH","On Track"))))</f>
        <v/>
      </c>
      <c r="AA172" s="25" t="str">
        <f aca="false">IF($K172="","",IFERROR(INDEX(Lists!$E$4:$E$14,MATCH($K172,Lists!$A$4:$A$14,0)),""))</f>
        <v/>
      </c>
      <c r="AB172" s="27" t="str">
        <f aca="false">IF($U172&lt;&gt;"",$U172,IF(OR($T172="",$M172&lt;&gt;"Active"),"",$T172+N($R172)))</f>
        <v/>
      </c>
      <c r="AC172" s="25" t="str">
        <f aca="false">IF(OR($T172="",$J172=""),"",$T172-$J172)</f>
        <v/>
      </c>
      <c r="AD172" s="25" t="str">
        <f aca="false">IF(AND($K172="Joined",$U172&lt;&gt;"",$J172&lt;&gt;""),$U172-$J172,"")</f>
        <v/>
      </c>
      <c r="AE172" s="25" t="str">
        <f aca="false">IF($K172="","",IF(OR($K172="Rejected",$K172="Withdrawn"),IFERROR(INDEX(Lists!$B$4:$B$14,MATCH($N172,Lists!$A$4:$A$14,0)),1),IFERROR(INDEX(Lists!$B$4:$B$14,MATCH($K172,Lists!$A$4:$A$14,0)),0)))</f>
        <v/>
      </c>
    </row>
    <row r="173" customFormat="false" ht="15" hidden="false" customHeight="false" outlineLevel="0" collapsed="false">
      <c r="A173" s="25" t="str">
        <f aca="false">IF($B173="","","C-"&amp;TEXT(ROW()-1,"0000"))</f>
        <v/>
      </c>
      <c r="B173" s="21"/>
      <c r="C173" s="21"/>
      <c r="D173" s="21"/>
      <c r="E173" s="21"/>
      <c r="F173" s="25" t="str">
        <f aca="false">IF($E173="","",IFERROR(INDEX(Requisitions!$B$2:$B$101,MATCH($E173,Requisitions!$A$2:$A$101,0)),"Unknown Req"))</f>
        <v/>
      </c>
      <c r="G173" s="25" t="str">
        <f aca="false">IF($E173="","",IFERROR(INDEX(Requisitions!$D$2:$D$101,MATCH($E173,Requisitions!$A$2:$A$101,0)),""))</f>
        <v/>
      </c>
      <c r="H173" s="21"/>
      <c r="I173" s="21"/>
      <c r="J173" s="22"/>
      <c r="K173" s="21"/>
      <c r="L173" s="22"/>
      <c r="M173" s="25" t="str">
        <f aca="false">IF($K173="","",IFERROR(INDEX(Lists!$D$4:$D$14,MATCH($K173,Lists!$A$4:$A$14,0)),"Check stage"))</f>
        <v/>
      </c>
      <c r="N173" s="21"/>
      <c r="O173" s="21"/>
      <c r="P173" s="26"/>
      <c r="Q173" s="26"/>
      <c r="R173" s="21"/>
      <c r="S173" s="21"/>
      <c r="T173" s="22"/>
      <c r="U173" s="22"/>
      <c r="V173" s="24" t="str">
        <f aca="false">IF(OR(N($P173)=0,$Q173=""),"",$Q173/$P173-1)</f>
        <v/>
      </c>
      <c r="W173" s="25" t="str">
        <f aca="true">IF($J173="","",IF($M173="Active",TODAY(),IF($U173&lt;&gt;"",$U173,IF($L173&lt;&gt;"",$L173,TODAY())))-$J173)</f>
        <v/>
      </c>
      <c r="X173" s="25" t="str">
        <f aca="true">IF(OR($L173="",$M173&lt;&gt;"Active"),"",TODAY()-$L173)</f>
        <v/>
      </c>
      <c r="Y173" s="25" t="str">
        <f aca="false">IF($M173&lt;&gt;"Active","",INDEX(Lists!$C$4:$C$14,MATCH($K173,Lists!$A$4:$A$14,0)))</f>
        <v/>
      </c>
      <c r="Z173" s="25" t="str">
        <f aca="false">IF($B173="","",IF($M173&lt;&gt;"Active","Closed",IF($X173="","",IF($X173&gt;$Y173,"BREACH","On Track"))))</f>
        <v/>
      </c>
      <c r="AA173" s="25" t="str">
        <f aca="false">IF($K173="","",IFERROR(INDEX(Lists!$E$4:$E$14,MATCH($K173,Lists!$A$4:$A$14,0)),""))</f>
        <v/>
      </c>
      <c r="AB173" s="27" t="str">
        <f aca="false">IF($U173&lt;&gt;"",$U173,IF(OR($T173="",$M173&lt;&gt;"Active"),"",$T173+N($R173)))</f>
        <v/>
      </c>
      <c r="AC173" s="25" t="str">
        <f aca="false">IF(OR($T173="",$J173=""),"",$T173-$J173)</f>
        <v/>
      </c>
      <c r="AD173" s="25" t="str">
        <f aca="false">IF(AND($K173="Joined",$U173&lt;&gt;"",$J173&lt;&gt;""),$U173-$J173,"")</f>
        <v/>
      </c>
      <c r="AE173" s="25" t="str">
        <f aca="false">IF($K173="","",IF(OR($K173="Rejected",$K173="Withdrawn"),IFERROR(INDEX(Lists!$B$4:$B$14,MATCH($N173,Lists!$A$4:$A$14,0)),1),IFERROR(INDEX(Lists!$B$4:$B$14,MATCH($K173,Lists!$A$4:$A$14,0)),0)))</f>
        <v/>
      </c>
    </row>
    <row r="174" customFormat="false" ht="15" hidden="false" customHeight="false" outlineLevel="0" collapsed="false">
      <c r="A174" s="25" t="str">
        <f aca="false">IF($B174="","","C-"&amp;TEXT(ROW()-1,"0000"))</f>
        <v/>
      </c>
      <c r="B174" s="21"/>
      <c r="C174" s="21"/>
      <c r="D174" s="21"/>
      <c r="E174" s="21"/>
      <c r="F174" s="25" t="str">
        <f aca="false">IF($E174="","",IFERROR(INDEX(Requisitions!$B$2:$B$101,MATCH($E174,Requisitions!$A$2:$A$101,0)),"Unknown Req"))</f>
        <v/>
      </c>
      <c r="G174" s="25" t="str">
        <f aca="false">IF($E174="","",IFERROR(INDEX(Requisitions!$D$2:$D$101,MATCH($E174,Requisitions!$A$2:$A$101,0)),""))</f>
        <v/>
      </c>
      <c r="H174" s="21"/>
      <c r="I174" s="21"/>
      <c r="J174" s="22"/>
      <c r="K174" s="21"/>
      <c r="L174" s="22"/>
      <c r="M174" s="25" t="str">
        <f aca="false">IF($K174="","",IFERROR(INDEX(Lists!$D$4:$D$14,MATCH($K174,Lists!$A$4:$A$14,0)),"Check stage"))</f>
        <v/>
      </c>
      <c r="N174" s="21"/>
      <c r="O174" s="21"/>
      <c r="P174" s="26"/>
      <c r="Q174" s="26"/>
      <c r="R174" s="21"/>
      <c r="S174" s="21"/>
      <c r="T174" s="22"/>
      <c r="U174" s="22"/>
      <c r="V174" s="24" t="str">
        <f aca="false">IF(OR(N($P174)=0,$Q174=""),"",$Q174/$P174-1)</f>
        <v/>
      </c>
      <c r="W174" s="25" t="str">
        <f aca="true">IF($J174="","",IF($M174="Active",TODAY(),IF($U174&lt;&gt;"",$U174,IF($L174&lt;&gt;"",$L174,TODAY())))-$J174)</f>
        <v/>
      </c>
      <c r="X174" s="25" t="str">
        <f aca="true">IF(OR($L174="",$M174&lt;&gt;"Active"),"",TODAY()-$L174)</f>
        <v/>
      </c>
      <c r="Y174" s="25" t="str">
        <f aca="false">IF($M174&lt;&gt;"Active","",INDEX(Lists!$C$4:$C$14,MATCH($K174,Lists!$A$4:$A$14,0)))</f>
        <v/>
      </c>
      <c r="Z174" s="25" t="str">
        <f aca="false">IF($B174="","",IF($M174&lt;&gt;"Active","Closed",IF($X174="","",IF($X174&gt;$Y174,"BREACH","On Track"))))</f>
        <v/>
      </c>
      <c r="AA174" s="25" t="str">
        <f aca="false">IF($K174="","",IFERROR(INDEX(Lists!$E$4:$E$14,MATCH($K174,Lists!$A$4:$A$14,0)),""))</f>
        <v/>
      </c>
      <c r="AB174" s="27" t="str">
        <f aca="false">IF($U174&lt;&gt;"",$U174,IF(OR($T174="",$M174&lt;&gt;"Active"),"",$T174+N($R174)))</f>
        <v/>
      </c>
      <c r="AC174" s="25" t="str">
        <f aca="false">IF(OR($T174="",$J174=""),"",$T174-$J174)</f>
        <v/>
      </c>
      <c r="AD174" s="25" t="str">
        <f aca="false">IF(AND($K174="Joined",$U174&lt;&gt;"",$J174&lt;&gt;""),$U174-$J174,"")</f>
        <v/>
      </c>
      <c r="AE174" s="25" t="str">
        <f aca="false">IF($K174="","",IF(OR($K174="Rejected",$K174="Withdrawn"),IFERROR(INDEX(Lists!$B$4:$B$14,MATCH($N174,Lists!$A$4:$A$14,0)),1),IFERROR(INDEX(Lists!$B$4:$B$14,MATCH($K174,Lists!$A$4:$A$14,0)),0)))</f>
        <v/>
      </c>
    </row>
    <row r="175" customFormat="false" ht="15" hidden="false" customHeight="false" outlineLevel="0" collapsed="false">
      <c r="A175" s="25" t="str">
        <f aca="false">IF($B175="","","C-"&amp;TEXT(ROW()-1,"0000"))</f>
        <v/>
      </c>
      <c r="B175" s="21"/>
      <c r="C175" s="21"/>
      <c r="D175" s="21"/>
      <c r="E175" s="21"/>
      <c r="F175" s="25" t="str">
        <f aca="false">IF($E175="","",IFERROR(INDEX(Requisitions!$B$2:$B$101,MATCH($E175,Requisitions!$A$2:$A$101,0)),"Unknown Req"))</f>
        <v/>
      </c>
      <c r="G175" s="25" t="str">
        <f aca="false">IF($E175="","",IFERROR(INDEX(Requisitions!$D$2:$D$101,MATCH($E175,Requisitions!$A$2:$A$101,0)),""))</f>
        <v/>
      </c>
      <c r="H175" s="21"/>
      <c r="I175" s="21"/>
      <c r="J175" s="22"/>
      <c r="K175" s="21"/>
      <c r="L175" s="22"/>
      <c r="M175" s="25" t="str">
        <f aca="false">IF($K175="","",IFERROR(INDEX(Lists!$D$4:$D$14,MATCH($K175,Lists!$A$4:$A$14,0)),"Check stage"))</f>
        <v/>
      </c>
      <c r="N175" s="21"/>
      <c r="O175" s="21"/>
      <c r="P175" s="26"/>
      <c r="Q175" s="26"/>
      <c r="R175" s="21"/>
      <c r="S175" s="21"/>
      <c r="T175" s="22"/>
      <c r="U175" s="22"/>
      <c r="V175" s="24" t="str">
        <f aca="false">IF(OR(N($P175)=0,$Q175=""),"",$Q175/$P175-1)</f>
        <v/>
      </c>
      <c r="W175" s="25" t="str">
        <f aca="true">IF($J175="","",IF($M175="Active",TODAY(),IF($U175&lt;&gt;"",$U175,IF($L175&lt;&gt;"",$L175,TODAY())))-$J175)</f>
        <v/>
      </c>
      <c r="X175" s="25" t="str">
        <f aca="true">IF(OR($L175="",$M175&lt;&gt;"Active"),"",TODAY()-$L175)</f>
        <v/>
      </c>
      <c r="Y175" s="25" t="str">
        <f aca="false">IF($M175&lt;&gt;"Active","",INDEX(Lists!$C$4:$C$14,MATCH($K175,Lists!$A$4:$A$14,0)))</f>
        <v/>
      </c>
      <c r="Z175" s="25" t="str">
        <f aca="false">IF($B175="","",IF($M175&lt;&gt;"Active","Closed",IF($X175="","",IF($X175&gt;$Y175,"BREACH","On Track"))))</f>
        <v/>
      </c>
      <c r="AA175" s="25" t="str">
        <f aca="false">IF($K175="","",IFERROR(INDEX(Lists!$E$4:$E$14,MATCH($K175,Lists!$A$4:$A$14,0)),""))</f>
        <v/>
      </c>
      <c r="AB175" s="27" t="str">
        <f aca="false">IF($U175&lt;&gt;"",$U175,IF(OR($T175="",$M175&lt;&gt;"Active"),"",$T175+N($R175)))</f>
        <v/>
      </c>
      <c r="AC175" s="25" t="str">
        <f aca="false">IF(OR($T175="",$J175=""),"",$T175-$J175)</f>
        <v/>
      </c>
      <c r="AD175" s="25" t="str">
        <f aca="false">IF(AND($K175="Joined",$U175&lt;&gt;"",$J175&lt;&gt;""),$U175-$J175,"")</f>
        <v/>
      </c>
      <c r="AE175" s="25" t="str">
        <f aca="false">IF($K175="","",IF(OR($K175="Rejected",$K175="Withdrawn"),IFERROR(INDEX(Lists!$B$4:$B$14,MATCH($N175,Lists!$A$4:$A$14,0)),1),IFERROR(INDEX(Lists!$B$4:$B$14,MATCH($K175,Lists!$A$4:$A$14,0)),0)))</f>
        <v/>
      </c>
    </row>
    <row r="176" customFormat="false" ht="15" hidden="false" customHeight="false" outlineLevel="0" collapsed="false">
      <c r="A176" s="25" t="str">
        <f aca="false">IF($B176="","","C-"&amp;TEXT(ROW()-1,"0000"))</f>
        <v/>
      </c>
      <c r="B176" s="21"/>
      <c r="C176" s="21"/>
      <c r="D176" s="21"/>
      <c r="E176" s="21"/>
      <c r="F176" s="25" t="str">
        <f aca="false">IF($E176="","",IFERROR(INDEX(Requisitions!$B$2:$B$101,MATCH($E176,Requisitions!$A$2:$A$101,0)),"Unknown Req"))</f>
        <v/>
      </c>
      <c r="G176" s="25" t="str">
        <f aca="false">IF($E176="","",IFERROR(INDEX(Requisitions!$D$2:$D$101,MATCH($E176,Requisitions!$A$2:$A$101,0)),""))</f>
        <v/>
      </c>
      <c r="H176" s="21"/>
      <c r="I176" s="21"/>
      <c r="J176" s="22"/>
      <c r="K176" s="21"/>
      <c r="L176" s="22"/>
      <c r="M176" s="25" t="str">
        <f aca="false">IF($K176="","",IFERROR(INDEX(Lists!$D$4:$D$14,MATCH($K176,Lists!$A$4:$A$14,0)),"Check stage"))</f>
        <v/>
      </c>
      <c r="N176" s="21"/>
      <c r="O176" s="21"/>
      <c r="P176" s="26"/>
      <c r="Q176" s="26"/>
      <c r="R176" s="21"/>
      <c r="S176" s="21"/>
      <c r="T176" s="22"/>
      <c r="U176" s="22"/>
      <c r="V176" s="24" t="str">
        <f aca="false">IF(OR(N($P176)=0,$Q176=""),"",$Q176/$P176-1)</f>
        <v/>
      </c>
      <c r="W176" s="25" t="str">
        <f aca="true">IF($J176="","",IF($M176="Active",TODAY(),IF($U176&lt;&gt;"",$U176,IF($L176&lt;&gt;"",$L176,TODAY())))-$J176)</f>
        <v/>
      </c>
      <c r="X176" s="25" t="str">
        <f aca="true">IF(OR($L176="",$M176&lt;&gt;"Active"),"",TODAY()-$L176)</f>
        <v/>
      </c>
      <c r="Y176" s="25" t="str">
        <f aca="false">IF($M176&lt;&gt;"Active","",INDEX(Lists!$C$4:$C$14,MATCH($K176,Lists!$A$4:$A$14,0)))</f>
        <v/>
      </c>
      <c r="Z176" s="25" t="str">
        <f aca="false">IF($B176="","",IF($M176&lt;&gt;"Active","Closed",IF($X176="","",IF($X176&gt;$Y176,"BREACH","On Track"))))</f>
        <v/>
      </c>
      <c r="AA176" s="25" t="str">
        <f aca="false">IF($K176="","",IFERROR(INDEX(Lists!$E$4:$E$14,MATCH($K176,Lists!$A$4:$A$14,0)),""))</f>
        <v/>
      </c>
      <c r="AB176" s="27" t="str">
        <f aca="false">IF($U176&lt;&gt;"",$U176,IF(OR($T176="",$M176&lt;&gt;"Active"),"",$T176+N($R176)))</f>
        <v/>
      </c>
      <c r="AC176" s="25" t="str">
        <f aca="false">IF(OR($T176="",$J176=""),"",$T176-$J176)</f>
        <v/>
      </c>
      <c r="AD176" s="25" t="str">
        <f aca="false">IF(AND($K176="Joined",$U176&lt;&gt;"",$J176&lt;&gt;""),$U176-$J176,"")</f>
        <v/>
      </c>
      <c r="AE176" s="25" t="str">
        <f aca="false">IF($K176="","",IF(OR($K176="Rejected",$K176="Withdrawn"),IFERROR(INDEX(Lists!$B$4:$B$14,MATCH($N176,Lists!$A$4:$A$14,0)),1),IFERROR(INDEX(Lists!$B$4:$B$14,MATCH($K176,Lists!$A$4:$A$14,0)),0)))</f>
        <v/>
      </c>
    </row>
    <row r="177" customFormat="false" ht="15" hidden="false" customHeight="false" outlineLevel="0" collapsed="false">
      <c r="A177" s="25" t="str">
        <f aca="false">IF($B177="","","C-"&amp;TEXT(ROW()-1,"0000"))</f>
        <v/>
      </c>
      <c r="B177" s="21"/>
      <c r="C177" s="21"/>
      <c r="D177" s="21"/>
      <c r="E177" s="21"/>
      <c r="F177" s="25" t="str">
        <f aca="false">IF($E177="","",IFERROR(INDEX(Requisitions!$B$2:$B$101,MATCH($E177,Requisitions!$A$2:$A$101,0)),"Unknown Req"))</f>
        <v/>
      </c>
      <c r="G177" s="25" t="str">
        <f aca="false">IF($E177="","",IFERROR(INDEX(Requisitions!$D$2:$D$101,MATCH($E177,Requisitions!$A$2:$A$101,0)),""))</f>
        <v/>
      </c>
      <c r="H177" s="21"/>
      <c r="I177" s="21"/>
      <c r="J177" s="22"/>
      <c r="K177" s="21"/>
      <c r="L177" s="22"/>
      <c r="M177" s="25" t="str">
        <f aca="false">IF($K177="","",IFERROR(INDEX(Lists!$D$4:$D$14,MATCH($K177,Lists!$A$4:$A$14,0)),"Check stage"))</f>
        <v/>
      </c>
      <c r="N177" s="21"/>
      <c r="O177" s="21"/>
      <c r="P177" s="26"/>
      <c r="Q177" s="26"/>
      <c r="R177" s="21"/>
      <c r="S177" s="21"/>
      <c r="T177" s="22"/>
      <c r="U177" s="22"/>
      <c r="V177" s="24" t="str">
        <f aca="false">IF(OR(N($P177)=0,$Q177=""),"",$Q177/$P177-1)</f>
        <v/>
      </c>
      <c r="W177" s="25" t="str">
        <f aca="true">IF($J177="","",IF($M177="Active",TODAY(),IF($U177&lt;&gt;"",$U177,IF($L177&lt;&gt;"",$L177,TODAY())))-$J177)</f>
        <v/>
      </c>
      <c r="X177" s="25" t="str">
        <f aca="true">IF(OR($L177="",$M177&lt;&gt;"Active"),"",TODAY()-$L177)</f>
        <v/>
      </c>
      <c r="Y177" s="25" t="str">
        <f aca="false">IF($M177&lt;&gt;"Active","",INDEX(Lists!$C$4:$C$14,MATCH($K177,Lists!$A$4:$A$14,0)))</f>
        <v/>
      </c>
      <c r="Z177" s="25" t="str">
        <f aca="false">IF($B177="","",IF($M177&lt;&gt;"Active","Closed",IF($X177="","",IF($X177&gt;$Y177,"BREACH","On Track"))))</f>
        <v/>
      </c>
      <c r="AA177" s="25" t="str">
        <f aca="false">IF($K177="","",IFERROR(INDEX(Lists!$E$4:$E$14,MATCH($K177,Lists!$A$4:$A$14,0)),""))</f>
        <v/>
      </c>
      <c r="AB177" s="27" t="str">
        <f aca="false">IF($U177&lt;&gt;"",$U177,IF(OR($T177="",$M177&lt;&gt;"Active"),"",$T177+N($R177)))</f>
        <v/>
      </c>
      <c r="AC177" s="25" t="str">
        <f aca="false">IF(OR($T177="",$J177=""),"",$T177-$J177)</f>
        <v/>
      </c>
      <c r="AD177" s="25" t="str">
        <f aca="false">IF(AND($K177="Joined",$U177&lt;&gt;"",$J177&lt;&gt;""),$U177-$J177,"")</f>
        <v/>
      </c>
      <c r="AE177" s="25" t="str">
        <f aca="false">IF($K177="","",IF(OR($K177="Rejected",$K177="Withdrawn"),IFERROR(INDEX(Lists!$B$4:$B$14,MATCH($N177,Lists!$A$4:$A$14,0)),1),IFERROR(INDEX(Lists!$B$4:$B$14,MATCH($K177,Lists!$A$4:$A$14,0)),0)))</f>
        <v/>
      </c>
    </row>
    <row r="178" customFormat="false" ht="15" hidden="false" customHeight="false" outlineLevel="0" collapsed="false">
      <c r="A178" s="25" t="str">
        <f aca="false">IF($B178="","","C-"&amp;TEXT(ROW()-1,"0000"))</f>
        <v/>
      </c>
      <c r="B178" s="21"/>
      <c r="C178" s="21"/>
      <c r="D178" s="21"/>
      <c r="E178" s="21"/>
      <c r="F178" s="25" t="str">
        <f aca="false">IF($E178="","",IFERROR(INDEX(Requisitions!$B$2:$B$101,MATCH($E178,Requisitions!$A$2:$A$101,0)),"Unknown Req"))</f>
        <v/>
      </c>
      <c r="G178" s="25" t="str">
        <f aca="false">IF($E178="","",IFERROR(INDEX(Requisitions!$D$2:$D$101,MATCH($E178,Requisitions!$A$2:$A$101,0)),""))</f>
        <v/>
      </c>
      <c r="H178" s="21"/>
      <c r="I178" s="21"/>
      <c r="J178" s="22"/>
      <c r="K178" s="21"/>
      <c r="L178" s="22"/>
      <c r="M178" s="25" t="str">
        <f aca="false">IF($K178="","",IFERROR(INDEX(Lists!$D$4:$D$14,MATCH($K178,Lists!$A$4:$A$14,0)),"Check stage"))</f>
        <v/>
      </c>
      <c r="N178" s="21"/>
      <c r="O178" s="21"/>
      <c r="P178" s="26"/>
      <c r="Q178" s="26"/>
      <c r="R178" s="21"/>
      <c r="S178" s="21"/>
      <c r="T178" s="22"/>
      <c r="U178" s="22"/>
      <c r="V178" s="24" t="str">
        <f aca="false">IF(OR(N($P178)=0,$Q178=""),"",$Q178/$P178-1)</f>
        <v/>
      </c>
      <c r="W178" s="25" t="str">
        <f aca="true">IF($J178="","",IF($M178="Active",TODAY(),IF($U178&lt;&gt;"",$U178,IF($L178&lt;&gt;"",$L178,TODAY())))-$J178)</f>
        <v/>
      </c>
      <c r="X178" s="25" t="str">
        <f aca="true">IF(OR($L178="",$M178&lt;&gt;"Active"),"",TODAY()-$L178)</f>
        <v/>
      </c>
      <c r="Y178" s="25" t="str">
        <f aca="false">IF($M178&lt;&gt;"Active","",INDEX(Lists!$C$4:$C$14,MATCH($K178,Lists!$A$4:$A$14,0)))</f>
        <v/>
      </c>
      <c r="Z178" s="25" t="str">
        <f aca="false">IF($B178="","",IF($M178&lt;&gt;"Active","Closed",IF($X178="","",IF($X178&gt;$Y178,"BREACH","On Track"))))</f>
        <v/>
      </c>
      <c r="AA178" s="25" t="str">
        <f aca="false">IF($K178="","",IFERROR(INDEX(Lists!$E$4:$E$14,MATCH($K178,Lists!$A$4:$A$14,0)),""))</f>
        <v/>
      </c>
      <c r="AB178" s="27" t="str">
        <f aca="false">IF($U178&lt;&gt;"",$U178,IF(OR($T178="",$M178&lt;&gt;"Active"),"",$T178+N($R178)))</f>
        <v/>
      </c>
      <c r="AC178" s="25" t="str">
        <f aca="false">IF(OR($T178="",$J178=""),"",$T178-$J178)</f>
        <v/>
      </c>
      <c r="AD178" s="25" t="str">
        <f aca="false">IF(AND($K178="Joined",$U178&lt;&gt;"",$J178&lt;&gt;""),$U178-$J178,"")</f>
        <v/>
      </c>
      <c r="AE178" s="25" t="str">
        <f aca="false">IF($K178="","",IF(OR($K178="Rejected",$K178="Withdrawn"),IFERROR(INDEX(Lists!$B$4:$B$14,MATCH($N178,Lists!$A$4:$A$14,0)),1),IFERROR(INDEX(Lists!$B$4:$B$14,MATCH($K178,Lists!$A$4:$A$14,0)),0)))</f>
        <v/>
      </c>
    </row>
    <row r="179" customFormat="false" ht="15" hidden="false" customHeight="false" outlineLevel="0" collapsed="false">
      <c r="A179" s="25" t="str">
        <f aca="false">IF($B179="","","C-"&amp;TEXT(ROW()-1,"0000"))</f>
        <v/>
      </c>
      <c r="B179" s="21"/>
      <c r="C179" s="21"/>
      <c r="D179" s="21"/>
      <c r="E179" s="21"/>
      <c r="F179" s="25" t="str">
        <f aca="false">IF($E179="","",IFERROR(INDEX(Requisitions!$B$2:$B$101,MATCH($E179,Requisitions!$A$2:$A$101,0)),"Unknown Req"))</f>
        <v/>
      </c>
      <c r="G179" s="25" t="str">
        <f aca="false">IF($E179="","",IFERROR(INDEX(Requisitions!$D$2:$D$101,MATCH($E179,Requisitions!$A$2:$A$101,0)),""))</f>
        <v/>
      </c>
      <c r="H179" s="21"/>
      <c r="I179" s="21"/>
      <c r="J179" s="22"/>
      <c r="K179" s="21"/>
      <c r="L179" s="22"/>
      <c r="M179" s="25" t="str">
        <f aca="false">IF($K179="","",IFERROR(INDEX(Lists!$D$4:$D$14,MATCH($K179,Lists!$A$4:$A$14,0)),"Check stage"))</f>
        <v/>
      </c>
      <c r="N179" s="21"/>
      <c r="O179" s="21"/>
      <c r="P179" s="26"/>
      <c r="Q179" s="26"/>
      <c r="R179" s="21"/>
      <c r="S179" s="21"/>
      <c r="T179" s="22"/>
      <c r="U179" s="22"/>
      <c r="V179" s="24" t="str">
        <f aca="false">IF(OR(N($P179)=0,$Q179=""),"",$Q179/$P179-1)</f>
        <v/>
      </c>
      <c r="W179" s="25" t="str">
        <f aca="true">IF($J179="","",IF($M179="Active",TODAY(),IF($U179&lt;&gt;"",$U179,IF($L179&lt;&gt;"",$L179,TODAY())))-$J179)</f>
        <v/>
      </c>
      <c r="X179" s="25" t="str">
        <f aca="true">IF(OR($L179="",$M179&lt;&gt;"Active"),"",TODAY()-$L179)</f>
        <v/>
      </c>
      <c r="Y179" s="25" t="str">
        <f aca="false">IF($M179&lt;&gt;"Active","",INDEX(Lists!$C$4:$C$14,MATCH($K179,Lists!$A$4:$A$14,0)))</f>
        <v/>
      </c>
      <c r="Z179" s="25" t="str">
        <f aca="false">IF($B179="","",IF($M179&lt;&gt;"Active","Closed",IF($X179="","",IF($X179&gt;$Y179,"BREACH","On Track"))))</f>
        <v/>
      </c>
      <c r="AA179" s="25" t="str">
        <f aca="false">IF($K179="","",IFERROR(INDEX(Lists!$E$4:$E$14,MATCH($K179,Lists!$A$4:$A$14,0)),""))</f>
        <v/>
      </c>
      <c r="AB179" s="27" t="str">
        <f aca="false">IF($U179&lt;&gt;"",$U179,IF(OR($T179="",$M179&lt;&gt;"Active"),"",$T179+N($R179)))</f>
        <v/>
      </c>
      <c r="AC179" s="25" t="str">
        <f aca="false">IF(OR($T179="",$J179=""),"",$T179-$J179)</f>
        <v/>
      </c>
      <c r="AD179" s="25" t="str">
        <f aca="false">IF(AND($K179="Joined",$U179&lt;&gt;"",$J179&lt;&gt;""),$U179-$J179,"")</f>
        <v/>
      </c>
      <c r="AE179" s="25" t="str">
        <f aca="false">IF($K179="","",IF(OR($K179="Rejected",$K179="Withdrawn"),IFERROR(INDEX(Lists!$B$4:$B$14,MATCH($N179,Lists!$A$4:$A$14,0)),1),IFERROR(INDEX(Lists!$B$4:$B$14,MATCH($K179,Lists!$A$4:$A$14,0)),0)))</f>
        <v/>
      </c>
    </row>
    <row r="180" customFormat="false" ht="15" hidden="false" customHeight="false" outlineLevel="0" collapsed="false">
      <c r="A180" s="25" t="str">
        <f aca="false">IF($B180="","","C-"&amp;TEXT(ROW()-1,"0000"))</f>
        <v/>
      </c>
      <c r="B180" s="21"/>
      <c r="C180" s="21"/>
      <c r="D180" s="21"/>
      <c r="E180" s="21"/>
      <c r="F180" s="25" t="str">
        <f aca="false">IF($E180="","",IFERROR(INDEX(Requisitions!$B$2:$B$101,MATCH($E180,Requisitions!$A$2:$A$101,0)),"Unknown Req"))</f>
        <v/>
      </c>
      <c r="G180" s="25" t="str">
        <f aca="false">IF($E180="","",IFERROR(INDEX(Requisitions!$D$2:$D$101,MATCH($E180,Requisitions!$A$2:$A$101,0)),""))</f>
        <v/>
      </c>
      <c r="H180" s="21"/>
      <c r="I180" s="21"/>
      <c r="J180" s="22"/>
      <c r="K180" s="21"/>
      <c r="L180" s="22"/>
      <c r="M180" s="25" t="str">
        <f aca="false">IF($K180="","",IFERROR(INDEX(Lists!$D$4:$D$14,MATCH($K180,Lists!$A$4:$A$14,0)),"Check stage"))</f>
        <v/>
      </c>
      <c r="N180" s="21"/>
      <c r="O180" s="21"/>
      <c r="P180" s="26"/>
      <c r="Q180" s="26"/>
      <c r="R180" s="21"/>
      <c r="S180" s="21"/>
      <c r="T180" s="22"/>
      <c r="U180" s="22"/>
      <c r="V180" s="24" t="str">
        <f aca="false">IF(OR(N($P180)=0,$Q180=""),"",$Q180/$P180-1)</f>
        <v/>
      </c>
      <c r="W180" s="25" t="str">
        <f aca="true">IF($J180="","",IF($M180="Active",TODAY(),IF($U180&lt;&gt;"",$U180,IF($L180&lt;&gt;"",$L180,TODAY())))-$J180)</f>
        <v/>
      </c>
      <c r="X180" s="25" t="str">
        <f aca="true">IF(OR($L180="",$M180&lt;&gt;"Active"),"",TODAY()-$L180)</f>
        <v/>
      </c>
      <c r="Y180" s="25" t="str">
        <f aca="false">IF($M180&lt;&gt;"Active","",INDEX(Lists!$C$4:$C$14,MATCH($K180,Lists!$A$4:$A$14,0)))</f>
        <v/>
      </c>
      <c r="Z180" s="25" t="str">
        <f aca="false">IF($B180="","",IF($M180&lt;&gt;"Active","Closed",IF($X180="","",IF($X180&gt;$Y180,"BREACH","On Track"))))</f>
        <v/>
      </c>
      <c r="AA180" s="25" t="str">
        <f aca="false">IF($K180="","",IFERROR(INDEX(Lists!$E$4:$E$14,MATCH($K180,Lists!$A$4:$A$14,0)),""))</f>
        <v/>
      </c>
      <c r="AB180" s="27" t="str">
        <f aca="false">IF($U180&lt;&gt;"",$U180,IF(OR($T180="",$M180&lt;&gt;"Active"),"",$T180+N($R180)))</f>
        <v/>
      </c>
      <c r="AC180" s="25" t="str">
        <f aca="false">IF(OR($T180="",$J180=""),"",$T180-$J180)</f>
        <v/>
      </c>
      <c r="AD180" s="25" t="str">
        <f aca="false">IF(AND($K180="Joined",$U180&lt;&gt;"",$J180&lt;&gt;""),$U180-$J180,"")</f>
        <v/>
      </c>
      <c r="AE180" s="25" t="str">
        <f aca="false">IF($K180="","",IF(OR($K180="Rejected",$K180="Withdrawn"),IFERROR(INDEX(Lists!$B$4:$B$14,MATCH($N180,Lists!$A$4:$A$14,0)),1),IFERROR(INDEX(Lists!$B$4:$B$14,MATCH($K180,Lists!$A$4:$A$14,0)),0)))</f>
        <v/>
      </c>
    </row>
    <row r="181" customFormat="false" ht="15" hidden="false" customHeight="false" outlineLevel="0" collapsed="false">
      <c r="A181" s="25" t="str">
        <f aca="false">IF($B181="","","C-"&amp;TEXT(ROW()-1,"0000"))</f>
        <v/>
      </c>
      <c r="B181" s="21"/>
      <c r="C181" s="21"/>
      <c r="D181" s="21"/>
      <c r="E181" s="21"/>
      <c r="F181" s="25" t="str">
        <f aca="false">IF($E181="","",IFERROR(INDEX(Requisitions!$B$2:$B$101,MATCH($E181,Requisitions!$A$2:$A$101,0)),"Unknown Req"))</f>
        <v/>
      </c>
      <c r="G181" s="25" t="str">
        <f aca="false">IF($E181="","",IFERROR(INDEX(Requisitions!$D$2:$D$101,MATCH($E181,Requisitions!$A$2:$A$101,0)),""))</f>
        <v/>
      </c>
      <c r="H181" s="21"/>
      <c r="I181" s="21"/>
      <c r="J181" s="22"/>
      <c r="K181" s="21"/>
      <c r="L181" s="22"/>
      <c r="M181" s="25" t="str">
        <f aca="false">IF($K181="","",IFERROR(INDEX(Lists!$D$4:$D$14,MATCH($K181,Lists!$A$4:$A$14,0)),"Check stage"))</f>
        <v/>
      </c>
      <c r="N181" s="21"/>
      <c r="O181" s="21"/>
      <c r="P181" s="26"/>
      <c r="Q181" s="26"/>
      <c r="R181" s="21"/>
      <c r="S181" s="21"/>
      <c r="T181" s="22"/>
      <c r="U181" s="22"/>
      <c r="V181" s="24" t="str">
        <f aca="false">IF(OR(N($P181)=0,$Q181=""),"",$Q181/$P181-1)</f>
        <v/>
      </c>
      <c r="W181" s="25" t="str">
        <f aca="true">IF($J181="","",IF($M181="Active",TODAY(),IF($U181&lt;&gt;"",$U181,IF($L181&lt;&gt;"",$L181,TODAY())))-$J181)</f>
        <v/>
      </c>
      <c r="X181" s="25" t="str">
        <f aca="true">IF(OR($L181="",$M181&lt;&gt;"Active"),"",TODAY()-$L181)</f>
        <v/>
      </c>
      <c r="Y181" s="25" t="str">
        <f aca="false">IF($M181&lt;&gt;"Active","",INDEX(Lists!$C$4:$C$14,MATCH($K181,Lists!$A$4:$A$14,0)))</f>
        <v/>
      </c>
      <c r="Z181" s="25" t="str">
        <f aca="false">IF($B181="","",IF($M181&lt;&gt;"Active","Closed",IF($X181="","",IF($X181&gt;$Y181,"BREACH","On Track"))))</f>
        <v/>
      </c>
      <c r="AA181" s="25" t="str">
        <f aca="false">IF($K181="","",IFERROR(INDEX(Lists!$E$4:$E$14,MATCH($K181,Lists!$A$4:$A$14,0)),""))</f>
        <v/>
      </c>
      <c r="AB181" s="27" t="str">
        <f aca="false">IF($U181&lt;&gt;"",$U181,IF(OR($T181="",$M181&lt;&gt;"Active"),"",$T181+N($R181)))</f>
        <v/>
      </c>
      <c r="AC181" s="25" t="str">
        <f aca="false">IF(OR($T181="",$J181=""),"",$T181-$J181)</f>
        <v/>
      </c>
      <c r="AD181" s="25" t="str">
        <f aca="false">IF(AND($K181="Joined",$U181&lt;&gt;"",$J181&lt;&gt;""),$U181-$J181,"")</f>
        <v/>
      </c>
      <c r="AE181" s="25" t="str">
        <f aca="false">IF($K181="","",IF(OR($K181="Rejected",$K181="Withdrawn"),IFERROR(INDEX(Lists!$B$4:$B$14,MATCH($N181,Lists!$A$4:$A$14,0)),1),IFERROR(INDEX(Lists!$B$4:$B$14,MATCH($K181,Lists!$A$4:$A$14,0)),0)))</f>
        <v/>
      </c>
    </row>
    <row r="182" customFormat="false" ht="15" hidden="false" customHeight="false" outlineLevel="0" collapsed="false">
      <c r="A182" s="25" t="str">
        <f aca="false">IF($B182="","","C-"&amp;TEXT(ROW()-1,"0000"))</f>
        <v/>
      </c>
      <c r="B182" s="21"/>
      <c r="C182" s="21"/>
      <c r="D182" s="21"/>
      <c r="E182" s="21"/>
      <c r="F182" s="25" t="str">
        <f aca="false">IF($E182="","",IFERROR(INDEX(Requisitions!$B$2:$B$101,MATCH($E182,Requisitions!$A$2:$A$101,0)),"Unknown Req"))</f>
        <v/>
      </c>
      <c r="G182" s="25" t="str">
        <f aca="false">IF($E182="","",IFERROR(INDEX(Requisitions!$D$2:$D$101,MATCH($E182,Requisitions!$A$2:$A$101,0)),""))</f>
        <v/>
      </c>
      <c r="H182" s="21"/>
      <c r="I182" s="21"/>
      <c r="J182" s="22"/>
      <c r="K182" s="21"/>
      <c r="L182" s="22"/>
      <c r="M182" s="25" t="str">
        <f aca="false">IF($K182="","",IFERROR(INDEX(Lists!$D$4:$D$14,MATCH($K182,Lists!$A$4:$A$14,0)),"Check stage"))</f>
        <v/>
      </c>
      <c r="N182" s="21"/>
      <c r="O182" s="21"/>
      <c r="P182" s="26"/>
      <c r="Q182" s="26"/>
      <c r="R182" s="21"/>
      <c r="S182" s="21"/>
      <c r="T182" s="22"/>
      <c r="U182" s="22"/>
      <c r="V182" s="24" t="str">
        <f aca="false">IF(OR(N($P182)=0,$Q182=""),"",$Q182/$P182-1)</f>
        <v/>
      </c>
      <c r="W182" s="25" t="str">
        <f aca="true">IF($J182="","",IF($M182="Active",TODAY(),IF($U182&lt;&gt;"",$U182,IF($L182&lt;&gt;"",$L182,TODAY())))-$J182)</f>
        <v/>
      </c>
      <c r="X182" s="25" t="str">
        <f aca="true">IF(OR($L182="",$M182&lt;&gt;"Active"),"",TODAY()-$L182)</f>
        <v/>
      </c>
      <c r="Y182" s="25" t="str">
        <f aca="false">IF($M182&lt;&gt;"Active","",INDEX(Lists!$C$4:$C$14,MATCH($K182,Lists!$A$4:$A$14,0)))</f>
        <v/>
      </c>
      <c r="Z182" s="25" t="str">
        <f aca="false">IF($B182="","",IF($M182&lt;&gt;"Active","Closed",IF($X182="","",IF($X182&gt;$Y182,"BREACH","On Track"))))</f>
        <v/>
      </c>
      <c r="AA182" s="25" t="str">
        <f aca="false">IF($K182="","",IFERROR(INDEX(Lists!$E$4:$E$14,MATCH($K182,Lists!$A$4:$A$14,0)),""))</f>
        <v/>
      </c>
      <c r="AB182" s="27" t="str">
        <f aca="false">IF($U182&lt;&gt;"",$U182,IF(OR($T182="",$M182&lt;&gt;"Active"),"",$T182+N($R182)))</f>
        <v/>
      </c>
      <c r="AC182" s="25" t="str">
        <f aca="false">IF(OR($T182="",$J182=""),"",$T182-$J182)</f>
        <v/>
      </c>
      <c r="AD182" s="25" t="str">
        <f aca="false">IF(AND($K182="Joined",$U182&lt;&gt;"",$J182&lt;&gt;""),$U182-$J182,"")</f>
        <v/>
      </c>
      <c r="AE182" s="25" t="str">
        <f aca="false">IF($K182="","",IF(OR($K182="Rejected",$K182="Withdrawn"),IFERROR(INDEX(Lists!$B$4:$B$14,MATCH($N182,Lists!$A$4:$A$14,0)),1),IFERROR(INDEX(Lists!$B$4:$B$14,MATCH($K182,Lists!$A$4:$A$14,0)),0)))</f>
        <v/>
      </c>
    </row>
    <row r="183" customFormat="false" ht="15" hidden="false" customHeight="false" outlineLevel="0" collapsed="false">
      <c r="A183" s="25" t="str">
        <f aca="false">IF($B183="","","C-"&amp;TEXT(ROW()-1,"0000"))</f>
        <v/>
      </c>
      <c r="B183" s="21"/>
      <c r="C183" s="21"/>
      <c r="D183" s="21"/>
      <c r="E183" s="21"/>
      <c r="F183" s="25" t="str">
        <f aca="false">IF($E183="","",IFERROR(INDEX(Requisitions!$B$2:$B$101,MATCH($E183,Requisitions!$A$2:$A$101,0)),"Unknown Req"))</f>
        <v/>
      </c>
      <c r="G183" s="25" t="str">
        <f aca="false">IF($E183="","",IFERROR(INDEX(Requisitions!$D$2:$D$101,MATCH($E183,Requisitions!$A$2:$A$101,0)),""))</f>
        <v/>
      </c>
      <c r="H183" s="21"/>
      <c r="I183" s="21"/>
      <c r="J183" s="22"/>
      <c r="K183" s="21"/>
      <c r="L183" s="22"/>
      <c r="M183" s="25" t="str">
        <f aca="false">IF($K183="","",IFERROR(INDEX(Lists!$D$4:$D$14,MATCH($K183,Lists!$A$4:$A$14,0)),"Check stage"))</f>
        <v/>
      </c>
      <c r="N183" s="21"/>
      <c r="O183" s="21"/>
      <c r="P183" s="26"/>
      <c r="Q183" s="26"/>
      <c r="R183" s="21"/>
      <c r="S183" s="21"/>
      <c r="T183" s="22"/>
      <c r="U183" s="22"/>
      <c r="V183" s="24" t="str">
        <f aca="false">IF(OR(N($P183)=0,$Q183=""),"",$Q183/$P183-1)</f>
        <v/>
      </c>
      <c r="W183" s="25" t="str">
        <f aca="true">IF($J183="","",IF($M183="Active",TODAY(),IF($U183&lt;&gt;"",$U183,IF($L183&lt;&gt;"",$L183,TODAY())))-$J183)</f>
        <v/>
      </c>
      <c r="X183" s="25" t="str">
        <f aca="true">IF(OR($L183="",$M183&lt;&gt;"Active"),"",TODAY()-$L183)</f>
        <v/>
      </c>
      <c r="Y183" s="25" t="str">
        <f aca="false">IF($M183&lt;&gt;"Active","",INDEX(Lists!$C$4:$C$14,MATCH($K183,Lists!$A$4:$A$14,0)))</f>
        <v/>
      </c>
      <c r="Z183" s="25" t="str">
        <f aca="false">IF($B183="","",IF($M183&lt;&gt;"Active","Closed",IF($X183="","",IF($X183&gt;$Y183,"BREACH","On Track"))))</f>
        <v/>
      </c>
      <c r="AA183" s="25" t="str">
        <f aca="false">IF($K183="","",IFERROR(INDEX(Lists!$E$4:$E$14,MATCH($K183,Lists!$A$4:$A$14,0)),""))</f>
        <v/>
      </c>
      <c r="AB183" s="27" t="str">
        <f aca="false">IF($U183&lt;&gt;"",$U183,IF(OR($T183="",$M183&lt;&gt;"Active"),"",$T183+N($R183)))</f>
        <v/>
      </c>
      <c r="AC183" s="25" t="str">
        <f aca="false">IF(OR($T183="",$J183=""),"",$T183-$J183)</f>
        <v/>
      </c>
      <c r="AD183" s="25" t="str">
        <f aca="false">IF(AND($K183="Joined",$U183&lt;&gt;"",$J183&lt;&gt;""),$U183-$J183,"")</f>
        <v/>
      </c>
      <c r="AE183" s="25" t="str">
        <f aca="false">IF($K183="","",IF(OR($K183="Rejected",$K183="Withdrawn"),IFERROR(INDEX(Lists!$B$4:$B$14,MATCH($N183,Lists!$A$4:$A$14,0)),1),IFERROR(INDEX(Lists!$B$4:$B$14,MATCH($K183,Lists!$A$4:$A$14,0)),0)))</f>
        <v/>
      </c>
    </row>
    <row r="184" customFormat="false" ht="15" hidden="false" customHeight="false" outlineLevel="0" collapsed="false">
      <c r="A184" s="25" t="str">
        <f aca="false">IF($B184="","","C-"&amp;TEXT(ROW()-1,"0000"))</f>
        <v/>
      </c>
      <c r="B184" s="21"/>
      <c r="C184" s="21"/>
      <c r="D184" s="21"/>
      <c r="E184" s="21"/>
      <c r="F184" s="25" t="str">
        <f aca="false">IF($E184="","",IFERROR(INDEX(Requisitions!$B$2:$B$101,MATCH($E184,Requisitions!$A$2:$A$101,0)),"Unknown Req"))</f>
        <v/>
      </c>
      <c r="G184" s="25" t="str">
        <f aca="false">IF($E184="","",IFERROR(INDEX(Requisitions!$D$2:$D$101,MATCH($E184,Requisitions!$A$2:$A$101,0)),""))</f>
        <v/>
      </c>
      <c r="H184" s="21"/>
      <c r="I184" s="21"/>
      <c r="J184" s="22"/>
      <c r="K184" s="21"/>
      <c r="L184" s="22"/>
      <c r="M184" s="25" t="str">
        <f aca="false">IF($K184="","",IFERROR(INDEX(Lists!$D$4:$D$14,MATCH($K184,Lists!$A$4:$A$14,0)),"Check stage"))</f>
        <v/>
      </c>
      <c r="N184" s="21"/>
      <c r="O184" s="21"/>
      <c r="P184" s="26"/>
      <c r="Q184" s="26"/>
      <c r="R184" s="21"/>
      <c r="S184" s="21"/>
      <c r="T184" s="22"/>
      <c r="U184" s="22"/>
      <c r="V184" s="24" t="str">
        <f aca="false">IF(OR(N($P184)=0,$Q184=""),"",$Q184/$P184-1)</f>
        <v/>
      </c>
      <c r="W184" s="25" t="str">
        <f aca="true">IF($J184="","",IF($M184="Active",TODAY(),IF($U184&lt;&gt;"",$U184,IF($L184&lt;&gt;"",$L184,TODAY())))-$J184)</f>
        <v/>
      </c>
      <c r="X184" s="25" t="str">
        <f aca="true">IF(OR($L184="",$M184&lt;&gt;"Active"),"",TODAY()-$L184)</f>
        <v/>
      </c>
      <c r="Y184" s="25" t="str">
        <f aca="false">IF($M184&lt;&gt;"Active","",INDEX(Lists!$C$4:$C$14,MATCH($K184,Lists!$A$4:$A$14,0)))</f>
        <v/>
      </c>
      <c r="Z184" s="25" t="str">
        <f aca="false">IF($B184="","",IF($M184&lt;&gt;"Active","Closed",IF($X184="","",IF($X184&gt;$Y184,"BREACH","On Track"))))</f>
        <v/>
      </c>
      <c r="AA184" s="25" t="str">
        <f aca="false">IF($K184="","",IFERROR(INDEX(Lists!$E$4:$E$14,MATCH($K184,Lists!$A$4:$A$14,0)),""))</f>
        <v/>
      </c>
      <c r="AB184" s="27" t="str">
        <f aca="false">IF($U184&lt;&gt;"",$U184,IF(OR($T184="",$M184&lt;&gt;"Active"),"",$T184+N($R184)))</f>
        <v/>
      </c>
      <c r="AC184" s="25" t="str">
        <f aca="false">IF(OR($T184="",$J184=""),"",$T184-$J184)</f>
        <v/>
      </c>
      <c r="AD184" s="25" t="str">
        <f aca="false">IF(AND($K184="Joined",$U184&lt;&gt;"",$J184&lt;&gt;""),$U184-$J184,"")</f>
        <v/>
      </c>
      <c r="AE184" s="25" t="str">
        <f aca="false">IF($K184="","",IF(OR($K184="Rejected",$K184="Withdrawn"),IFERROR(INDEX(Lists!$B$4:$B$14,MATCH($N184,Lists!$A$4:$A$14,0)),1),IFERROR(INDEX(Lists!$B$4:$B$14,MATCH($K184,Lists!$A$4:$A$14,0)),0)))</f>
        <v/>
      </c>
    </row>
    <row r="185" customFormat="false" ht="15" hidden="false" customHeight="false" outlineLevel="0" collapsed="false">
      <c r="A185" s="25" t="str">
        <f aca="false">IF($B185="","","C-"&amp;TEXT(ROW()-1,"0000"))</f>
        <v/>
      </c>
      <c r="B185" s="21"/>
      <c r="C185" s="21"/>
      <c r="D185" s="21"/>
      <c r="E185" s="21"/>
      <c r="F185" s="25" t="str">
        <f aca="false">IF($E185="","",IFERROR(INDEX(Requisitions!$B$2:$B$101,MATCH($E185,Requisitions!$A$2:$A$101,0)),"Unknown Req"))</f>
        <v/>
      </c>
      <c r="G185" s="25" t="str">
        <f aca="false">IF($E185="","",IFERROR(INDEX(Requisitions!$D$2:$D$101,MATCH($E185,Requisitions!$A$2:$A$101,0)),""))</f>
        <v/>
      </c>
      <c r="H185" s="21"/>
      <c r="I185" s="21"/>
      <c r="J185" s="22"/>
      <c r="K185" s="21"/>
      <c r="L185" s="22"/>
      <c r="M185" s="25" t="str">
        <f aca="false">IF($K185="","",IFERROR(INDEX(Lists!$D$4:$D$14,MATCH($K185,Lists!$A$4:$A$14,0)),"Check stage"))</f>
        <v/>
      </c>
      <c r="N185" s="21"/>
      <c r="O185" s="21"/>
      <c r="P185" s="26"/>
      <c r="Q185" s="26"/>
      <c r="R185" s="21"/>
      <c r="S185" s="21"/>
      <c r="T185" s="22"/>
      <c r="U185" s="22"/>
      <c r="V185" s="24" t="str">
        <f aca="false">IF(OR(N($P185)=0,$Q185=""),"",$Q185/$P185-1)</f>
        <v/>
      </c>
      <c r="W185" s="25" t="str">
        <f aca="true">IF($J185="","",IF($M185="Active",TODAY(),IF($U185&lt;&gt;"",$U185,IF($L185&lt;&gt;"",$L185,TODAY())))-$J185)</f>
        <v/>
      </c>
      <c r="X185" s="25" t="str">
        <f aca="true">IF(OR($L185="",$M185&lt;&gt;"Active"),"",TODAY()-$L185)</f>
        <v/>
      </c>
      <c r="Y185" s="25" t="str">
        <f aca="false">IF($M185&lt;&gt;"Active","",INDEX(Lists!$C$4:$C$14,MATCH($K185,Lists!$A$4:$A$14,0)))</f>
        <v/>
      </c>
      <c r="Z185" s="25" t="str">
        <f aca="false">IF($B185="","",IF($M185&lt;&gt;"Active","Closed",IF($X185="","",IF($X185&gt;$Y185,"BREACH","On Track"))))</f>
        <v/>
      </c>
      <c r="AA185" s="25" t="str">
        <f aca="false">IF($K185="","",IFERROR(INDEX(Lists!$E$4:$E$14,MATCH($K185,Lists!$A$4:$A$14,0)),""))</f>
        <v/>
      </c>
      <c r="AB185" s="27" t="str">
        <f aca="false">IF($U185&lt;&gt;"",$U185,IF(OR($T185="",$M185&lt;&gt;"Active"),"",$T185+N($R185)))</f>
        <v/>
      </c>
      <c r="AC185" s="25" t="str">
        <f aca="false">IF(OR($T185="",$J185=""),"",$T185-$J185)</f>
        <v/>
      </c>
      <c r="AD185" s="25" t="str">
        <f aca="false">IF(AND($K185="Joined",$U185&lt;&gt;"",$J185&lt;&gt;""),$U185-$J185,"")</f>
        <v/>
      </c>
      <c r="AE185" s="25" t="str">
        <f aca="false">IF($K185="","",IF(OR($K185="Rejected",$K185="Withdrawn"),IFERROR(INDEX(Lists!$B$4:$B$14,MATCH($N185,Lists!$A$4:$A$14,0)),1),IFERROR(INDEX(Lists!$B$4:$B$14,MATCH($K185,Lists!$A$4:$A$14,0)),0)))</f>
        <v/>
      </c>
    </row>
    <row r="186" customFormat="false" ht="15" hidden="false" customHeight="false" outlineLevel="0" collapsed="false">
      <c r="A186" s="25" t="str">
        <f aca="false">IF($B186="","","C-"&amp;TEXT(ROW()-1,"0000"))</f>
        <v/>
      </c>
      <c r="B186" s="21"/>
      <c r="C186" s="21"/>
      <c r="D186" s="21"/>
      <c r="E186" s="21"/>
      <c r="F186" s="25" t="str">
        <f aca="false">IF($E186="","",IFERROR(INDEX(Requisitions!$B$2:$B$101,MATCH($E186,Requisitions!$A$2:$A$101,0)),"Unknown Req"))</f>
        <v/>
      </c>
      <c r="G186" s="25" t="str">
        <f aca="false">IF($E186="","",IFERROR(INDEX(Requisitions!$D$2:$D$101,MATCH($E186,Requisitions!$A$2:$A$101,0)),""))</f>
        <v/>
      </c>
      <c r="H186" s="21"/>
      <c r="I186" s="21"/>
      <c r="J186" s="22"/>
      <c r="K186" s="21"/>
      <c r="L186" s="22"/>
      <c r="M186" s="25" t="str">
        <f aca="false">IF($K186="","",IFERROR(INDEX(Lists!$D$4:$D$14,MATCH($K186,Lists!$A$4:$A$14,0)),"Check stage"))</f>
        <v/>
      </c>
      <c r="N186" s="21"/>
      <c r="O186" s="21"/>
      <c r="P186" s="26"/>
      <c r="Q186" s="26"/>
      <c r="R186" s="21"/>
      <c r="S186" s="21"/>
      <c r="T186" s="22"/>
      <c r="U186" s="22"/>
      <c r="V186" s="24" t="str">
        <f aca="false">IF(OR(N($P186)=0,$Q186=""),"",$Q186/$P186-1)</f>
        <v/>
      </c>
      <c r="W186" s="25" t="str">
        <f aca="true">IF($J186="","",IF($M186="Active",TODAY(),IF($U186&lt;&gt;"",$U186,IF($L186&lt;&gt;"",$L186,TODAY())))-$J186)</f>
        <v/>
      </c>
      <c r="X186" s="25" t="str">
        <f aca="true">IF(OR($L186="",$M186&lt;&gt;"Active"),"",TODAY()-$L186)</f>
        <v/>
      </c>
      <c r="Y186" s="25" t="str">
        <f aca="false">IF($M186&lt;&gt;"Active","",INDEX(Lists!$C$4:$C$14,MATCH($K186,Lists!$A$4:$A$14,0)))</f>
        <v/>
      </c>
      <c r="Z186" s="25" t="str">
        <f aca="false">IF($B186="","",IF($M186&lt;&gt;"Active","Closed",IF($X186="","",IF($X186&gt;$Y186,"BREACH","On Track"))))</f>
        <v/>
      </c>
      <c r="AA186" s="25" t="str">
        <f aca="false">IF($K186="","",IFERROR(INDEX(Lists!$E$4:$E$14,MATCH($K186,Lists!$A$4:$A$14,0)),""))</f>
        <v/>
      </c>
      <c r="AB186" s="27" t="str">
        <f aca="false">IF($U186&lt;&gt;"",$U186,IF(OR($T186="",$M186&lt;&gt;"Active"),"",$T186+N($R186)))</f>
        <v/>
      </c>
      <c r="AC186" s="25" t="str">
        <f aca="false">IF(OR($T186="",$J186=""),"",$T186-$J186)</f>
        <v/>
      </c>
      <c r="AD186" s="25" t="str">
        <f aca="false">IF(AND($K186="Joined",$U186&lt;&gt;"",$J186&lt;&gt;""),$U186-$J186,"")</f>
        <v/>
      </c>
      <c r="AE186" s="25" t="str">
        <f aca="false">IF($K186="","",IF(OR($K186="Rejected",$K186="Withdrawn"),IFERROR(INDEX(Lists!$B$4:$B$14,MATCH($N186,Lists!$A$4:$A$14,0)),1),IFERROR(INDEX(Lists!$B$4:$B$14,MATCH($K186,Lists!$A$4:$A$14,0)),0)))</f>
        <v/>
      </c>
    </row>
    <row r="187" customFormat="false" ht="15" hidden="false" customHeight="false" outlineLevel="0" collapsed="false">
      <c r="A187" s="25" t="str">
        <f aca="false">IF($B187="","","C-"&amp;TEXT(ROW()-1,"0000"))</f>
        <v/>
      </c>
      <c r="B187" s="21"/>
      <c r="C187" s="21"/>
      <c r="D187" s="21"/>
      <c r="E187" s="21"/>
      <c r="F187" s="25" t="str">
        <f aca="false">IF($E187="","",IFERROR(INDEX(Requisitions!$B$2:$B$101,MATCH($E187,Requisitions!$A$2:$A$101,0)),"Unknown Req"))</f>
        <v/>
      </c>
      <c r="G187" s="25" t="str">
        <f aca="false">IF($E187="","",IFERROR(INDEX(Requisitions!$D$2:$D$101,MATCH($E187,Requisitions!$A$2:$A$101,0)),""))</f>
        <v/>
      </c>
      <c r="H187" s="21"/>
      <c r="I187" s="21"/>
      <c r="J187" s="22"/>
      <c r="K187" s="21"/>
      <c r="L187" s="22"/>
      <c r="M187" s="25" t="str">
        <f aca="false">IF($K187="","",IFERROR(INDEX(Lists!$D$4:$D$14,MATCH($K187,Lists!$A$4:$A$14,0)),"Check stage"))</f>
        <v/>
      </c>
      <c r="N187" s="21"/>
      <c r="O187" s="21"/>
      <c r="P187" s="26"/>
      <c r="Q187" s="26"/>
      <c r="R187" s="21"/>
      <c r="S187" s="21"/>
      <c r="T187" s="22"/>
      <c r="U187" s="22"/>
      <c r="V187" s="24" t="str">
        <f aca="false">IF(OR(N($P187)=0,$Q187=""),"",$Q187/$P187-1)</f>
        <v/>
      </c>
      <c r="W187" s="25" t="str">
        <f aca="true">IF($J187="","",IF($M187="Active",TODAY(),IF($U187&lt;&gt;"",$U187,IF($L187&lt;&gt;"",$L187,TODAY())))-$J187)</f>
        <v/>
      </c>
      <c r="X187" s="25" t="str">
        <f aca="true">IF(OR($L187="",$M187&lt;&gt;"Active"),"",TODAY()-$L187)</f>
        <v/>
      </c>
      <c r="Y187" s="25" t="str">
        <f aca="false">IF($M187&lt;&gt;"Active","",INDEX(Lists!$C$4:$C$14,MATCH($K187,Lists!$A$4:$A$14,0)))</f>
        <v/>
      </c>
      <c r="Z187" s="25" t="str">
        <f aca="false">IF($B187="","",IF($M187&lt;&gt;"Active","Closed",IF($X187="","",IF($X187&gt;$Y187,"BREACH","On Track"))))</f>
        <v/>
      </c>
      <c r="AA187" s="25" t="str">
        <f aca="false">IF($K187="","",IFERROR(INDEX(Lists!$E$4:$E$14,MATCH($K187,Lists!$A$4:$A$14,0)),""))</f>
        <v/>
      </c>
      <c r="AB187" s="27" t="str">
        <f aca="false">IF($U187&lt;&gt;"",$U187,IF(OR($T187="",$M187&lt;&gt;"Active"),"",$T187+N($R187)))</f>
        <v/>
      </c>
      <c r="AC187" s="25" t="str">
        <f aca="false">IF(OR($T187="",$J187=""),"",$T187-$J187)</f>
        <v/>
      </c>
      <c r="AD187" s="25" t="str">
        <f aca="false">IF(AND($K187="Joined",$U187&lt;&gt;"",$J187&lt;&gt;""),$U187-$J187,"")</f>
        <v/>
      </c>
      <c r="AE187" s="25" t="str">
        <f aca="false">IF($K187="","",IF(OR($K187="Rejected",$K187="Withdrawn"),IFERROR(INDEX(Lists!$B$4:$B$14,MATCH($N187,Lists!$A$4:$A$14,0)),1),IFERROR(INDEX(Lists!$B$4:$B$14,MATCH($K187,Lists!$A$4:$A$14,0)),0)))</f>
        <v/>
      </c>
    </row>
    <row r="188" customFormat="false" ht="15" hidden="false" customHeight="false" outlineLevel="0" collapsed="false">
      <c r="A188" s="25" t="str">
        <f aca="false">IF($B188="","","C-"&amp;TEXT(ROW()-1,"0000"))</f>
        <v/>
      </c>
      <c r="B188" s="21"/>
      <c r="C188" s="21"/>
      <c r="D188" s="21"/>
      <c r="E188" s="21"/>
      <c r="F188" s="25" t="str">
        <f aca="false">IF($E188="","",IFERROR(INDEX(Requisitions!$B$2:$B$101,MATCH($E188,Requisitions!$A$2:$A$101,0)),"Unknown Req"))</f>
        <v/>
      </c>
      <c r="G188" s="25" t="str">
        <f aca="false">IF($E188="","",IFERROR(INDEX(Requisitions!$D$2:$D$101,MATCH($E188,Requisitions!$A$2:$A$101,0)),""))</f>
        <v/>
      </c>
      <c r="H188" s="21"/>
      <c r="I188" s="21"/>
      <c r="J188" s="22"/>
      <c r="K188" s="21"/>
      <c r="L188" s="22"/>
      <c r="M188" s="25" t="str">
        <f aca="false">IF($K188="","",IFERROR(INDEX(Lists!$D$4:$D$14,MATCH($K188,Lists!$A$4:$A$14,0)),"Check stage"))</f>
        <v/>
      </c>
      <c r="N188" s="21"/>
      <c r="O188" s="21"/>
      <c r="P188" s="26"/>
      <c r="Q188" s="26"/>
      <c r="R188" s="21"/>
      <c r="S188" s="21"/>
      <c r="T188" s="22"/>
      <c r="U188" s="22"/>
      <c r="V188" s="24" t="str">
        <f aca="false">IF(OR(N($P188)=0,$Q188=""),"",$Q188/$P188-1)</f>
        <v/>
      </c>
      <c r="W188" s="25" t="str">
        <f aca="true">IF($J188="","",IF($M188="Active",TODAY(),IF($U188&lt;&gt;"",$U188,IF($L188&lt;&gt;"",$L188,TODAY())))-$J188)</f>
        <v/>
      </c>
      <c r="X188" s="25" t="str">
        <f aca="true">IF(OR($L188="",$M188&lt;&gt;"Active"),"",TODAY()-$L188)</f>
        <v/>
      </c>
      <c r="Y188" s="25" t="str">
        <f aca="false">IF($M188&lt;&gt;"Active","",INDEX(Lists!$C$4:$C$14,MATCH($K188,Lists!$A$4:$A$14,0)))</f>
        <v/>
      </c>
      <c r="Z188" s="25" t="str">
        <f aca="false">IF($B188="","",IF($M188&lt;&gt;"Active","Closed",IF($X188="","",IF($X188&gt;$Y188,"BREACH","On Track"))))</f>
        <v/>
      </c>
      <c r="AA188" s="25" t="str">
        <f aca="false">IF($K188="","",IFERROR(INDEX(Lists!$E$4:$E$14,MATCH($K188,Lists!$A$4:$A$14,0)),""))</f>
        <v/>
      </c>
      <c r="AB188" s="27" t="str">
        <f aca="false">IF($U188&lt;&gt;"",$U188,IF(OR($T188="",$M188&lt;&gt;"Active"),"",$T188+N($R188)))</f>
        <v/>
      </c>
      <c r="AC188" s="25" t="str">
        <f aca="false">IF(OR($T188="",$J188=""),"",$T188-$J188)</f>
        <v/>
      </c>
      <c r="AD188" s="25" t="str">
        <f aca="false">IF(AND($K188="Joined",$U188&lt;&gt;"",$J188&lt;&gt;""),$U188-$J188,"")</f>
        <v/>
      </c>
      <c r="AE188" s="25" t="str">
        <f aca="false">IF($K188="","",IF(OR($K188="Rejected",$K188="Withdrawn"),IFERROR(INDEX(Lists!$B$4:$B$14,MATCH($N188,Lists!$A$4:$A$14,0)),1),IFERROR(INDEX(Lists!$B$4:$B$14,MATCH($K188,Lists!$A$4:$A$14,0)),0)))</f>
        <v/>
      </c>
    </row>
    <row r="189" customFormat="false" ht="15" hidden="false" customHeight="false" outlineLevel="0" collapsed="false">
      <c r="A189" s="25" t="str">
        <f aca="false">IF($B189="","","C-"&amp;TEXT(ROW()-1,"0000"))</f>
        <v/>
      </c>
      <c r="B189" s="21"/>
      <c r="C189" s="21"/>
      <c r="D189" s="21"/>
      <c r="E189" s="21"/>
      <c r="F189" s="25" t="str">
        <f aca="false">IF($E189="","",IFERROR(INDEX(Requisitions!$B$2:$B$101,MATCH($E189,Requisitions!$A$2:$A$101,0)),"Unknown Req"))</f>
        <v/>
      </c>
      <c r="G189" s="25" t="str">
        <f aca="false">IF($E189="","",IFERROR(INDEX(Requisitions!$D$2:$D$101,MATCH($E189,Requisitions!$A$2:$A$101,0)),""))</f>
        <v/>
      </c>
      <c r="H189" s="21"/>
      <c r="I189" s="21"/>
      <c r="J189" s="22"/>
      <c r="K189" s="21"/>
      <c r="L189" s="22"/>
      <c r="M189" s="25" t="str">
        <f aca="false">IF($K189="","",IFERROR(INDEX(Lists!$D$4:$D$14,MATCH($K189,Lists!$A$4:$A$14,0)),"Check stage"))</f>
        <v/>
      </c>
      <c r="N189" s="21"/>
      <c r="O189" s="21"/>
      <c r="P189" s="26"/>
      <c r="Q189" s="26"/>
      <c r="R189" s="21"/>
      <c r="S189" s="21"/>
      <c r="T189" s="22"/>
      <c r="U189" s="22"/>
      <c r="V189" s="24" t="str">
        <f aca="false">IF(OR(N($P189)=0,$Q189=""),"",$Q189/$P189-1)</f>
        <v/>
      </c>
      <c r="W189" s="25" t="str">
        <f aca="true">IF($J189="","",IF($M189="Active",TODAY(),IF($U189&lt;&gt;"",$U189,IF($L189&lt;&gt;"",$L189,TODAY())))-$J189)</f>
        <v/>
      </c>
      <c r="X189" s="25" t="str">
        <f aca="true">IF(OR($L189="",$M189&lt;&gt;"Active"),"",TODAY()-$L189)</f>
        <v/>
      </c>
      <c r="Y189" s="25" t="str">
        <f aca="false">IF($M189&lt;&gt;"Active","",INDEX(Lists!$C$4:$C$14,MATCH($K189,Lists!$A$4:$A$14,0)))</f>
        <v/>
      </c>
      <c r="Z189" s="25" t="str">
        <f aca="false">IF($B189="","",IF($M189&lt;&gt;"Active","Closed",IF($X189="","",IF($X189&gt;$Y189,"BREACH","On Track"))))</f>
        <v/>
      </c>
      <c r="AA189" s="25" t="str">
        <f aca="false">IF($K189="","",IFERROR(INDEX(Lists!$E$4:$E$14,MATCH($K189,Lists!$A$4:$A$14,0)),""))</f>
        <v/>
      </c>
      <c r="AB189" s="27" t="str">
        <f aca="false">IF($U189&lt;&gt;"",$U189,IF(OR($T189="",$M189&lt;&gt;"Active"),"",$T189+N($R189)))</f>
        <v/>
      </c>
      <c r="AC189" s="25" t="str">
        <f aca="false">IF(OR($T189="",$J189=""),"",$T189-$J189)</f>
        <v/>
      </c>
      <c r="AD189" s="25" t="str">
        <f aca="false">IF(AND($K189="Joined",$U189&lt;&gt;"",$J189&lt;&gt;""),$U189-$J189,"")</f>
        <v/>
      </c>
      <c r="AE189" s="25" t="str">
        <f aca="false">IF($K189="","",IF(OR($K189="Rejected",$K189="Withdrawn"),IFERROR(INDEX(Lists!$B$4:$B$14,MATCH($N189,Lists!$A$4:$A$14,0)),1),IFERROR(INDEX(Lists!$B$4:$B$14,MATCH($K189,Lists!$A$4:$A$14,0)),0)))</f>
        <v/>
      </c>
    </row>
    <row r="190" customFormat="false" ht="15" hidden="false" customHeight="false" outlineLevel="0" collapsed="false">
      <c r="A190" s="25" t="str">
        <f aca="false">IF($B190="","","C-"&amp;TEXT(ROW()-1,"0000"))</f>
        <v/>
      </c>
      <c r="B190" s="21"/>
      <c r="C190" s="21"/>
      <c r="D190" s="21"/>
      <c r="E190" s="21"/>
      <c r="F190" s="25" t="str">
        <f aca="false">IF($E190="","",IFERROR(INDEX(Requisitions!$B$2:$B$101,MATCH($E190,Requisitions!$A$2:$A$101,0)),"Unknown Req"))</f>
        <v/>
      </c>
      <c r="G190" s="25" t="str">
        <f aca="false">IF($E190="","",IFERROR(INDEX(Requisitions!$D$2:$D$101,MATCH($E190,Requisitions!$A$2:$A$101,0)),""))</f>
        <v/>
      </c>
      <c r="H190" s="21"/>
      <c r="I190" s="21"/>
      <c r="J190" s="22"/>
      <c r="K190" s="21"/>
      <c r="L190" s="22"/>
      <c r="M190" s="25" t="str">
        <f aca="false">IF($K190="","",IFERROR(INDEX(Lists!$D$4:$D$14,MATCH($K190,Lists!$A$4:$A$14,0)),"Check stage"))</f>
        <v/>
      </c>
      <c r="N190" s="21"/>
      <c r="O190" s="21"/>
      <c r="P190" s="26"/>
      <c r="Q190" s="26"/>
      <c r="R190" s="21"/>
      <c r="S190" s="21"/>
      <c r="T190" s="22"/>
      <c r="U190" s="22"/>
      <c r="V190" s="24" t="str">
        <f aca="false">IF(OR(N($P190)=0,$Q190=""),"",$Q190/$P190-1)</f>
        <v/>
      </c>
      <c r="W190" s="25" t="str">
        <f aca="true">IF($J190="","",IF($M190="Active",TODAY(),IF($U190&lt;&gt;"",$U190,IF($L190&lt;&gt;"",$L190,TODAY())))-$J190)</f>
        <v/>
      </c>
      <c r="X190" s="25" t="str">
        <f aca="true">IF(OR($L190="",$M190&lt;&gt;"Active"),"",TODAY()-$L190)</f>
        <v/>
      </c>
      <c r="Y190" s="25" t="str">
        <f aca="false">IF($M190&lt;&gt;"Active","",INDEX(Lists!$C$4:$C$14,MATCH($K190,Lists!$A$4:$A$14,0)))</f>
        <v/>
      </c>
      <c r="Z190" s="25" t="str">
        <f aca="false">IF($B190="","",IF($M190&lt;&gt;"Active","Closed",IF($X190="","",IF($X190&gt;$Y190,"BREACH","On Track"))))</f>
        <v/>
      </c>
      <c r="AA190" s="25" t="str">
        <f aca="false">IF($K190="","",IFERROR(INDEX(Lists!$E$4:$E$14,MATCH($K190,Lists!$A$4:$A$14,0)),""))</f>
        <v/>
      </c>
      <c r="AB190" s="27" t="str">
        <f aca="false">IF($U190&lt;&gt;"",$U190,IF(OR($T190="",$M190&lt;&gt;"Active"),"",$T190+N($R190)))</f>
        <v/>
      </c>
      <c r="AC190" s="25" t="str">
        <f aca="false">IF(OR($T190="",$J190=""),"",$T190-$J190)</f>
        <v/>
      </c>
      <c r="AD190" s="25" t="str">
        <f aca="false">IF(AND($K190="Joined",$U190&lt;&gt;"",$J190&lt;&gt;""),$U190-$J190,"")</f>
        <v/>
      </c>
      <c r="AE190" s="25" t="str">
        <f aca="false">IF($K190="","",IF(OR($K190="Rejected",$K190="Withdrawn"),IFERROR(INDEX(Lists!$B$4:$B$14,MATCH($N190,Lists!$A$4:$A$14,0)),1),IFERROR(INDEX(Lists!$B$4:$B$14,MATCH($K190,Lists!$A$4:$A$14,0)),0)))</f>
        <v/>
      </c>
    </row>
    <row r="191" customFormat="false" ht="15" hidden="false" customHeight="false" outlineLevel="0" collapsed="false">
      <c r="A191" s="25" t="str">
        <f aca="false">IF($B191="","","C-"&amp;TEXT(ROW()-1,"0000"))</f>
        <v/>
      </c>
      <c r="B191" s="21"/>
      <c r="C191" s="21"/>
      <c r="D191" s="21"/>
      <c r="E191" s="21"/>
      <c r="F191" s="25" t="str">
        <f aca="false">IF($E191="","",IFERROR(INDEX(Requisitions!$B$2:$B$101,MATCH($E191,Requisitions!$A$2:$A$101,0)),"Unknown Req"))</f>
        <v/>
      </c>
      <c r="G191" s="25" t="str">
        <f aca="false">IF($E191="","",IFERROR(INDEX(Requisitions!$D$2:$D$101,MATCH($E191,Requisitions!$A$2:$A$101,0)),""))</f>
        <v/>
      </c>
      <c r="H191" s="21"/>
      <c r="I191" s="21"/>
      <c r="J191" s="22"/>
      <c r="K191" s="21"/>
      <c r="L191" s="22"/>
      <c r="M191" s="25" t="str">
        <f aca="false">IF($K191="","",IFERROR(INDEX(Lists!$D$4:$D$14,MATCH($K191,Lists!$A$4:$A$14,0)),"Check stage"))</f>
        <v/>
      </c>
      <c r="N191" s="21"/>
      <c r="O191" s="21"/>
      <c r="P191" s="26"/>
      <c r="Q191" s="26"/>
      <c r="R191" s="21"/>
      <c r="S191" s="21"/>
      <c r="T191" s="22"/>
      <c r="U191" s="22"/>
      <c r="V191" s="24" t="str">
        <f aca="false">IF(OR(N($P191)=0,$Q191=""),"",$Q191/$P191-1)</f>
        <v/>
      </c>
      <c r="W191" s="25" t="str">
        <f aca="true">IF($J191="","",IF($M191="Active",TODAY(),IF($U191&lt;&gt;"",$U191,IF($L191&lt;&gt;"",$L191,TODAY())))-$J191)</f>
        <v/>
      </c>
      <c r="X191" s="25" t="str">
        <f aca="true">IF(OR($L191="",$M191&lt;&gt;"Active"),"",TODAY()-$L191)</f>
        <v/>
      </c>
      <c r="Y191" s="25" t="str">
        <f aca="false">IF($M191&lt;&gt;"Active","",INDEX(Lists!$C$4:$C$14,MATCH($K191,Lists!$A$4:$A$14,0)))</f>
        <v/>
      </c>
      <c r="Z191" s="25" t="str">
        <f aca="false">IF($B191="","",IF($M191&lt;&gt;"Active","Closed",IF($X191="","",IF($X191&gt;$Y191,"BREACH","On Track"))))</f>
        <v/>
      </c>
      <c r="AA191" s="25" t="str">
        <f aca="false">IF($K191="","",IFERROR(INDEX(Lists!$E$4:$E$14,MATCH($K191,Lists!$A$4:$A$14,0)),""))</f>
        <v/>
      </c>
      <c r="AB191" s="27" t="str">
        <f aca="false">IF($U191&lt;&gt;"",$U191,IF(OR($T191="",$M191&lt;&gt;"Active"),"",$T191+N($R191)))</f>
        <v/>
      </c>
      <c r="AC191" s="25" t="str">
        <f aca="false">IF(OR($T191="",$J191=""),"",$T191-$J191)</f>
        <v/>
      </c>
      <c r="AD191" s="25" t="str">
        <f aca="false">IF(AND($K191="Joined",$U191&lt;&gt;"",$J191&lt;&gt;""),$U191-$J191,"")</f>
        <v/>
      </c>
      <c r="AE191" s="25" t="str">
        <f aca="false">IF($K191="","",IF(OR($K191="Rejected",$K191="Withdrawn"),IFERROR(INDEX(Lists!$B$4:$B$14,MATCH($N191,Lists!$A$4:$A$14,0)),1),IFERROR(INDEX(Lists!$B$4:$B$14,MATCH($K191,Lists!$A$4:$A$14,0)),0)))</f>
        <v/>
      </c>
    </row>
    <row r="192" customFormat="false" ht="15" hidden="false" customHeight="false" outlineLevel="0" collapsed="false">
      <c r="A192" s="25" t="str">
        <f aca="false">IF($B192="","","C-"&amp;TEXT(ROW()-1,"0000"))</f>
        <v/>
      </c>
      <c r="B192" s="21"/>
      <c r="C192" s="21"/>
      <c r="D192" s="21"/>
      <c r="E192" s="21"/>
      <c r="F192" s="25" t="str">
        <f aca="false">IF($E192="","",IFERROR(INDEX(Requisitions!$B$2:$B$101,MATCH($E192,Requisitions!$A$2:$A$101,0)),"Unknown Req"))</f>
        <v/>
      </c>
      <c r="G192" s="25" t="str">
        <f aca="false">IF($E192="","",IFERROR(INDEX(Requisitions!$D$2:$D$101,MATCH($E192,Requisitions!$A$2:$A$101,0)),""))</f>
        <v/>
      </c>
      <c r="H192" s="21"/>
      <c r="I192" s="21"/>
      <c r="J192" s="22"/>
      <c r="K192" s="21"/>
      <c r="L192" s="22"/>
      <c r="M192" s="25" t="str">
        <f aca="false">IF($K192="","",IFERROR(INDEX(Lists!$D$4:$D$14,MATCH($K192,Lists!$A$4:$A$14,0)),"Check stage"))</f>
        <v/>
      </c>
      <c r="N192" s="21"/>
      <c r="O192" s="21"/>
      <c r="P192" s="26"/>
      <c r="Q192" s="26"/>
      <c r="R192" s="21"/>
      <c r="S192" s="21"/>
      <c r="T192" s="22"/>
      <c r="U192" s="22"/>
      <c r="V192" s="24" t="str">
        <f aca="false">IF(OR(N($P192)=0,$Q192=""),"",$Q192/$P192-1)</f>
        <v/>
      </c>
      <c r="W192" s="25" t="str">
        <f aca="true">IF($J192="","",IF($M192="Active",TODAY(),IF($U192&lt;&gt;"",$U192,IF($L192&lt;&gt;"",$L192,TODAY())))-$J192)</f>
        <v/>
      </c>
      <c r="X192" s="25" t="str">
        <f aca="true">IF(OR($L192="",$M192&lt;&gt;"Active"),"",TODAY()-$L192)</f>
        <v/>
      </c>
      <c r="Y192" s="25" t="str">
        <f aca="false">IF($M192&lt;&gt;"Active","",INDEX(Lists!$C$4:$C$14,MATCH($K192,Lists!$A$4:$A$14,0)))</f>
        <v/>
      </c>
      <c r="Z192" s="25" t="str">
        <f aca="false">IF($B192="","",IF($M192&lt;&gt;"Active","Closed",IF($X192="","",IF($X192&gt;$Y192,"BREACH","On Track"))))</f>
        <v/>
      </c>
      <c r="AA192" s="25" t="str">
        <f aca="false">IF($K192="","",IFERROR(INDEX(Lists!$E$4:$E$14,MATCH($K192,Lists!$A$4:$A$14,0)),""))</f>
        <v/>
      </c>
      <c r="AB192" s="27" t="str">
        <f aca="false">IF($U192&lt;&gt;"",$U192,IF(OR($T192="",$M192&lt;&gt;"Active"),"",$T192+N($R192)))</f>
        <v/>
      </c>
      <c r="AC192" s="25" t="str">
        <f aca="false">IF(OR($T192="",$J192=""),"",$T192-$J192)</f>
        <v/>
      </c>
      <c r="AD192" s="25" t="str">
        <f aca="false">IF(AND($K192="Joined",$U192&lt;&gt;"",$J192&lt;&gt;""),$U192-$J192,"")</f>
        <v/>
      </c>
      <c r="AE192" s="25" t="str">
        <f aca="false">IF($K192="","",IF(OR($K192="Rejected",$K192="Withdrawn"),IFERROR(INDEX(Lists!$B$4:$B$14,MATCH($N192,Lists!$A$4:$A$14,0)),1),IFERROR(INDEX(Lists!$B$4:$B$14,MATCH($K192,Lists!$A$4:$A$14,0)),0)))</f>
        <v/>
      </c>
    </row>
    <row r="193" customFormat="false" ht="15" hidden="false" customHeight="false" outlineLevel="0" collapsed="false">
      <c r="A193" s="25" t="str">
        <f aca="false">IF($B193="","","C-"&amp;TEXT(ROW()-1,"0000"))</f>
        <v/>
      </c>
      <c r="B193" s="21"/>
      <c r="C193" s="21"/>
      <c r="D193" s="21"/>
      <c r="E193" s="21"/>
      <c r="F193" s="25" t="str">
        <f aca="false">IF($E193="","",IFERROR(INDEX(Requisitions!$B$2:$B$101,MATCH($E193,Requisitions!$A$2:$A$101,0)),"Unknown Req"))</f>
        <v/>
      </c>
      <c r="G193" s="25" t="str">
        <f aca="false">IF($E193="","",IFERROR(INDEX(Requisitions!$D$2:$D$101,MATCH($E193,Requisitions!$A$2:$A$101,0)),""))</f>
        <v/>
      </c>
      <c r="H193" s="21"/>
      <c r="I193" s="21"/>
      <c r="J193" s="22"/>
      <c r="K193" s="21"/>
      <c r="L193" s="22"/>
      <c r="M193" s="25" t="str">
        <f aca="false">IF($K193="","",IFERROR(INDEX(Lists!$D$4:$D$14,MATCH($K193,Lists!$A$4:$A$14,0)),"Check stage"))</f>
        <v/>
      </c>
      <c r="N193" s="21"/>
      <c r="O193" s="21"/>
      <c r="P193" s="26"/>
      <c r="Q193" s="26"/>
      <c r="R193" s="21"/>
      <c r="S193" s="21"/>
      <c r="T193" s="22"/>
      <c r="U193" s="22"/>
      <c r="V193" s="24" t="str">
        <f aca="false">IF(OR(N($P193)=0,$Q193=""),"",$Q193/$P193-1)</f>
        <v/>
      </c>
      <c r="W193" s="25" t="str">
        <f aca="true">IF($J193="","",IF($M193="Active",TODAY(),IF($U193&lt;&gt;"",$U193,IF($L193&lt;&gt;"",$L193,TODAY())))-$J193)</f>
        <v/>
      </c>
      <c r="X193" s="25" t="str">
        <f aca="true">IF(OR($L193="",$M193&lt;&gt;"Active"),"",TODAY()-$L193)</f>
        <v/>
      </c>
      <c r="Y193" s="25" t="str">
        <f aca="false">IF($M193&lt;&gt;"Active","",INDEX(Lists!$C$4:$C$14,MATCH($K193,Lists!$A$4:$A$14,0)))</f>
        <v/>
      </c>
      <c r="Z193" s="25" t="str">
        <f aca="false">IF($B193="","",IF($M193&lt;&gt;"Active","Closed",IF($X193="","",IF($X193&gt;$Y193,"BREACH","On Track"))))</f>
        <v/>
      </c>
      <c r="AA193" s="25" t="str">
        <f aca="false">IF($K193="","",IFERROR(INDEX(Lists!$E$4:$E$14,MATCH($K193,Lists!$A$4:$A$14,0)),""))</f>
        <v/>
      </c>
      <c r="AB193" s="27" t="str">
        <f aca="false">IF($U193&lt;&gt;"",$U193,IF(OR($T193="",$M193&lt;&gt;"Active"),"",$T193+N($R193)))</f>
        <v/>
      </c>
      <c r="AC193" s="25" t="str">
        <f aca="false">IF(OR($T193="",$J193=""),"",$T193-$J193)</f>
        <v/>
      </c>
      <c r="AD193" s="25" t="str">
        <f aca="false">IF(AND($K193="Joined",$U193&lt;&gt;"",$J193&lt;&gt;""),$U193-$J193,"")</f>
        <v/>
      </c>
      <c r="AE193" s="25" t="str">
        <f aca="false">IF($K193="","",IF(OR($K193="Rejected",$K193="Withdrawn"),IFERROR(INDEX(Lists!$B$4:$B$14,MATCH($N193,Lists!$A$4:$A$14,0)),1),IFERROR(INDEX(Lists!$B$4:$B$14,MATCH($K193,Lists!$A$4:$A$14,0)),0)))</f>
        <v/>
      </c>
    </row>
    <row r="194" customFormat="false" ht="15" hidden="false" customHeight="false" outlineLevel="0" collapsed="false">
      <c r="A194" s="25" t="str">
        <f aca="false">IF($B194="","","C-"&amp;TEXT(ROW()-1,"0000"))</f>
        <v/>
      </c>
      <c r="B194" s="21"/>
      <c r="C194" s="21"/>
      <c r="D194" s="21"/>
      <c r="E194" s="21"/>
      <c r="F194" s="25" t="str">
        <f aca="false">IF($E194="","",IFERROR(INDEX(Requisitions!$B$2:$B$101,MATCH($E194,Requisitions!$A$2:$A$101,0)),"Unknown Req"))</f>
        <v/>
      </c>
      <c r="G194" s="25" t="str">
        <f aca="false">IF($E194="","",IFERROR(INDEX(Requisitions!$D$2:$D$101,MATCH($E194,Requisitions!$A$2:$A$101,0)),""))</f>
        <v/>
      </c>
      <c r="H194" s="21"/>
      <c r="I194" s="21"/>
      <c r="J194" s="22"/>
      <c r="K194" s="21"/>
      <c r="L194" s="22"/>
      <c r="M194" s="25" t="str">
        <f aca="false">IF($K194="","",IFERROR(INDEX(Lists!$D$4:$D$14,MATCH($K194,Lists!$A$4:$A$14,0)),"Check stage"))</f>
        <v/>
      </c>
      <c r="N194" s="21"/>
      <c r="O194" s="21"/>
      <c r="P194" s="26"/>
      <c r="Q194" s="26"/>
      <c r="R194" s="21"/>
      <c r="S194" s="21"/>
      <c r="T194" s="22"/>
      <c r="U194" s="22"/>
      <c r="V194" s="24" t="str">
        <f aca="false">IF(OR(N($P194)=0,$Q194=""),"",$Q194/$P194-1)</f>
        <v/>
      </c>
      <c r="W194" s="25" t="str">
        <f aca="true">IF($J194="","",IF($M194="Active",TODAY(),IF($U194&lt;&gt;"",$U194,IF($L194&lt;&gt;"",$L194,TODAY())))-$J194)</f>
        <v/>
      </c>
      <c r="X194" s="25" t="str">
        <f aca="true">IF(OR($L194="",$M194&lt;&gt;"Active"),"",TODAY()-$L194)</f>
        <v/>
      </c>
      <c r="Y194" s="25" t="str">
        <f aca="false">IF($M194&lt;&gt;"Active","",INDEX(Lists!$C$4:$C$14,MATCH($K194,Lists!$A$4:$A$14,0)))</f>
        <v/>
      </c>
      <c r="Z194" s="25" t="str">
        <f aca="false">IF($B194="","",IF($M194&lt;&gt;"Active","Closed",IF($X194="","",IF($X194&gt;$Y194,"BREACH","On Track"))))</f>
        <v/>
      </c>
      <c r="AA194" s="25" t="str">
        <f aca="false">IF($K194="","",IFERROR(INDEX(Lists!$E$4:$E$14,MATCH($K194,Lists!$A$4:$A$14,0)),""))</f>
        <v/>
      </c>
      <c r="AB194" s="27" t="str">
        <f aca="false">IF($U194&lt;&gt;"",$U194,IF(OR($T194="",$M194&lt;&gt;"Active"),"",$T194+N($R194)))</f>
        <v/>
      </c>
      <c r="AC194" s="25" t="str">
        <f aca="false">IF(OR($T194="",$J194=""),"",$T194-$J194)</f>
        <v/>
      </c>
      <c r="AD194" s="25" t="str">
        <f aca="false">IF(AND($K194="Joined",$U194&lt;&gt;"",$J194&lt;&gt;""),$U194-$J194,"")</f>
        <v/>
      </c>
      <c r="AE194" s="25" t="str">
        <f aca="false">IF($K194="","",IF(OR($K194="Rejected",$K194="Withdrawn"),IFERROR(INDEX(Lists!$B$4:$B$14,MATCH($N194,Lists!$A$4:$A$14,0)),1),IFERROR(INDEX(Lists!$B$4:$B$14,MATCH($K194,Lists!$A$4:$A$14,0)),0)))</f>
        <v/>
      </c>
    </row>
    <row r="195" customFormat="false" ht="15" hidden="false" customHeight="false" outlineLevel="0" collapsed="false">
      <c r="A195" s="25" t="str">
        <f aca="false">IF($B195="","","C-"&amp;TEXT(ROW()-1,"0000"))</f>
        <v/>
      </c>
      <c r="B195" s="21"/>
      <c r="C195" s="21"/>
      <c r="D195" s="21"/>
      <c r="E195" s="21"/>
      <c r="F195" s="25" t="str">
        <f aca="false">IF($E195="","",IFERROR(INDEX(Requisitions!$B$2:$B$101,MATCH($E195,Requisitions!$A$2:$A$101,0)),"Unknown Req"))</f>
        <v/>
      </c>
      <c r="G195" s="25" t="str">
        <f aca="false">IF($E195="","",IFERROR(INDEX(Requisitions!$D$2:$D$101,MATCH($E195,Requisitions!$A$2:$A$101,0)),""))</f>
        <v/>
      </c>
      <c r="H195" s="21"/>
      <c r="I195" s="21"/>
      <c r="J195" s="22"/>
      <c r="K195" s="21"/>
      <c r="L195" s="22"/>
      <c r="M195" s="25" t="str">
        <f aca="false">IF($K195="","",IFERROR(INDEX(Lists!$D$4:$D$14,MATCH($K195,Lists!$A$4:$A$14,0)),"Check stage"))</f>
        <v/>
      </c>
      <c r="N195" s="21"/>
      <c r="O195" s="21"/>
      <c r="P195" s="26"/>
      <c r="Q195" s="26"/>
      <c r="R195" s="21"/>
      <c r="S195" s="21"/>
      <c r="T195" s="22"/>
      <c r="U195" s="22"/>
      <c r="V195" s="24" t="str">
        <f aca="false">IF(OR(N($P195)=0,$Q195=""),"",$Q195/$P195-1)</f>
        <v/>
      </c>
      <c r="W195" s="25" t="str">
        <f aca="true">IF($J195="","",IF($M195="Active",TODAY(),IF($U195&lt;&gt;"",$U195,IF($L195&lt;&gt;"",$L195,TODAY())))-$J195)</f>
        <v/>
      </c>
      <c r="X195" s="25" t="str">
        <f aca="true">IF(OR($L195="",$M195&lt;&gt;"Active"),"",TODAY()-$L195)</f>
        <v/>
      </c>
      <c r="Y195" s="25" t="str">
        <f aca="false">IF($M195&lt;&gt;"Active","",INDEX(Lists!$C$4:$C$14,MATCH($K195,Lists!$A$4:$A$14,0)))</f>
        <v/>
      </c>
      <c r="Z195" s="25" t="str">
        <f aca="false">IF($B195="","",IF($M195&lt;&gt;"Active","Closed",IF($X195="","",IF($X195&gt;$Y195,"BREACH","On Track"))))</f>
        <v/>
      </c>
      <c r="AA195" s="25" t="str">
        <f aca="false">IF($K195="","",IFERROR(INDEX(Lists!$E$4:$E$14,MATCH($K195,Lists!$A$4:$A$14,0)),""))</f>
        <v/>
      </c>
      <c r="AB195" s="27" t="str">
        <f aca="false">IF($U195&lt;&gt;"",$U195,IF(OR($T195="",$M195&lt;&gt;"Active"),"",$T195+N($R195)))</f>
        <v/>
      </c>
      <c r="AC195" s="25" t="str">
        <f aca="false">IF(OR($T195="",$J195=""),"",$T195-$J195)</f>
        <v/>
      </c>
      <c r="AD195" s="25" t="str">
        <f aca="false">IF(AND($K195="Joined",$U195&lt;&gt;"",$J195&lt;&gt;""),$U195-$J195,"")</f>
        <v/>
      </c>
      <c r="AE195" s="25" t="str">
        <f aca="false">IF($K195="","",IF(OR($K195="Rejected",$K195="Withdrawn"),IFERROR(INDEX(Lists!$B$4:$B$14,MATCH($N195,Lists!$A$4:$A$14,0)),1),IFERROR(INDEX(Lists!$B$4:$B$14,MATCH($K195,Lists!$A$4:$A$14,0)),0)))</f>
        <v/>
      </c>
    </row>
    <row r="196" customFormat="false" ht="15" hidden="false" customHeight="false" outlineLevel="0" collapsed="false">
      <c r="A196" s="25" t="str">
        <f aca="false">IF($B196="","","C-"&amp;TEXT(ROW()-1,"0000"))</f>
        <v/>
      </c>
      <c r="B196" s="21"/>
      <c r="C196" s="21"/>
      <c r="D196" s="21"/>
      <c r="E196" s="21"/>
      <c r="F196" s="25" t="str">
        <f aca="false">IF($E196="","",IFERROR(INDEX(Requisitions!$B$2:$B$101,MATCH($E196,Requisitions!$A$2:$A$101,0)),"Unknown Req"))</f>
        <v/>
      </c>
      <c r="G196" s="25" t="str">
        <f aca="false">IF($E196="","",IFERROR(INDEX(Requisitions!$D$2:$D$101,MATCH($E196,Requisitions!$A$2:$A$101,0)),""))</f>
        <v/>
      </c>
      <c r="H196" s="21"/>
      <c r="I196" s="21"/>
      <c r="J196" s="22"/>
      <c r="K196" s="21"/>
      <c r="L196" s="22"/>
      <c r="M196" s="25" t="str">
        <f aca="false">IF($K196="","",IFERROR(INDEX(Lists!$D$4:$D$14,MATCH($K196,Lists!$A$4:$A$14,0)),"Check stage"))</f>
        <v/>
      </c>
      <c r="N196" s="21"/>
      <c r="O196" s="21"/>
      <c r="P196" s="26"/>
      <c r="Q196" s="26"/>
      <c r="R196" s="21"/>
      <c r="S196" s="21"/>
      <c r="T196" s="22"/>
      <c r="U196" s="22"/>
      <c r="V196" s="24" t="str">
        <f aca="false">IF(OR(N($P196)=0,$Q196=""),"",$Q196/$P196-1)</f>
        <v/>
      </c>
      <c r="W196" s="25" t="str">
        <f aca="true">IF($J196="","",IF($M196="Active",TODAY(),IF($U196&lt;&gt;"",$U196,IF($L196&lt;&gt;"",$L196,TODAY())))-$J196)</f>
        <v/>
      </c>
      <c r="X196" s="25" t="str">
        <f aca="true">IF(OR($L196="",$M196&lt;&gt;"Active"),"",TODAY()-$L196)</f>
        <v/>
      </c>
      <c r="Y196" s="25" t="str">
        <f aca="false">IF($M196&lt;&gt;"Active","",INDEX(Lists!$C$4:$C$14,MATCH($K196,Lists!$A$4:$A$14,0)))</f>
        <v/>
      </c>
      <c r="Z196" s="25" t="str">
        <f aca="false">IF($B196="","",IF($M196&lt;&gt;"Active","Closed",IF($X196="","",IF($X196&gt;$Y196,"BREACH","On Track"))))</f>
        <v/>
      </c>
      <c r="AA196" s="25" t="str">
        <f aca="false">IF($K196="","",IFERROR(INDEX(Lists!$E$4:$E$14,MATCH($K196,Lists!$A$4:$A$14,0)),""))</f>
        <v/>
      </c>
      <c r="AB196" s="27" t="str">
        <f aca="false">IF($U196&lt;&gt;"",$U196,IF(OR($T196="",$M196&lt;&gt;"Active"),"",$T196+N($R196)))</f>
        <v/>
      </c>
      <c r="AC196" s="25" t="str">
        <f aca="false">IF(OR($T196="",$J196=""),"",$T196-$J196)</f>
        <v/>
      </c>
      <c r="AD196" s="25" t="str">
        <f aca="false">IF(AND($K196="Joined",$U196&lt;&gt;"",$J196&lt;&gt;""),$U196-$J196,"")</f>
        <v/>
      </c>
      <c r="AE196" s="25" t="str">
        <f aca="false">IF($K196="","",IF(OR($K196="Rejected",$K196="Withdrawn"),IFERROR(INDEX(Lists!$B$4:$B$14,MATCH($N196,Lists!$A$4:$A$14,0)),1),IFERROR(INDEX(Lists!$B$4:$B$14,MATCH($K196,Lists!$A$4:$A$14,0)),0)))</f>
        <v/>
      </c>
    </row>
    <row r="197" customFormat="false" ht="15" hidden="false" customHeight="false" outlineLevel="0" collapsed="false">
      <c r="A197" s="25" t="str">
        <f aca="false">IF($B197="","","C-"&amp;TEXT(ROW()-1,"0000"))</f>
        <v/>
      </c>
      <c r="B197" s="21"/>
      <c r="C197" s="21"/>
      <c r="D197" s="21"/>
      <c r="E197" s="21"/>
      <c r="F197" s="25" t="str">
        <f aca="false">IF($E197="","",IFERROR(INDEX(Requisitions!$B$2:$B$101,MATCH($E197,Requisitions!$A$2:$A$101,0)),"Unknown Req"))</f>
        <v/>
      </c>
      <c r="G197" s="25" t="str">
        <f aca="false">IF($E197="","",IFERROR(INDEX(Requisitions!$D$2:$D$101,MATCH($E197,Requisitions!$A$2:$A$101,0)),""))</f>
        <v/>
      </c>
      <c r="H197" s="21"/>
      <c r="I197" s="21"/>
      <c r="J197" s="22"/>
      <c r="K197" s="21"/>
      <c r="L197" s="22"/>
      <c r="M197" s="25" t="str">
        <f aca="false">IF($K197="","",IFERROR(INDEX(Lists!$D$4:$D$14,MATCH($K197,Lists!$A$4:$A$14,0)),"Check stage"))</f>
        <v/>
      </c>
      <c r="N197" s="21"/>
      <c r="O197" s="21"/>
      <c r="P197" s="26"/>
      <c r="Q197" s="26"/>
      <c r="R197" s="21"/>
      <c r="S197" s="21"/>
      <c r="T197" s="22"/>
      <c r="U197" s="22"/>
      <c r="V197" s="24" t="str">
        <f aca="false">IF(OR(N($P197)=0,$Q197=""),"",$Q197/$P197-1)</f>
        <v/>
      </c>
      <c r="W197" s="25" t="str">
        <f aca="true">IF($J197="","",IF($M197="Active",TODAY(),IF($U197&lt;&gt;"",$U197,IF($L197&lt;&gt;"",$L197,TODAY())))-$J197)</f>
        <v/>
      </c>
      <c r="X197" s="25" t="str">
        <f aca="true">IF(OR($L197="",$M197&lt;&gt;"Active"),"",TODAY()-$L197)</f>
        <v/>
      </c>
      <c r="Y197" s="25" t="str">
        <f aca="false">IF($M197&lt;&gt;"Active","",INDEX(Lists!$C$4:$C$14,MATCH($K197,Lists!$A$4:$A$14,0)))</f>
        <v/>
      </c>
      <c r="Z197" s="25" t="str">
        <f aca="false">IF($B197="","",IF($M197&lt;&gt;"Active","Closed",IF($X197="","",IF($X197&gt;$Y197,"BREACH","On Track"))))</f>
        <v/>
      </c>
      <c r="AA197" s="25" t="str">
        <f aca="false">IF($K197="","",IFERROR(INDEX(Lists!$E$4:$E$14,MATCH($K197,Lists!$A$4:$A$14,0)),""))</f>
        <v/>
      </c>
      <c r="AB197" s="27" t="str">
        <f aca="false">IF($U197&lt;&gt;"",$U197,IF(OR($T197="",$M197&lt;&gt;"Active"),"",$T197+N($R197)))</f>
        <v/>
      </c>
      <c r="AC197" s="25" t="str">
        <f aca="false">IF(OR($T197="",$J197=""),"",$T197-$J197)</f>
        <v/>
      </c>
      <c r="AD197" s="25" t="str">
        <f aca="false">IF(AND($K197="Joined",$U197&lt;&gt;"",$J197&lt;&gt;""),$U197-$J197,"")</f>
        <v/>
      </c>
      <c r="AE197" s="25" t="str">
        <f aca="false">IF($K197="","",IF(OR($K197="Rejected",$K197="Withdrawn"),IFERROR(INDEX(Lists!$B$4:$B$14,MATCH($N197,Lists!$A$4:$A$14,0)),1),IFERROR(INDEX(Lists!$B$4:$B$14,MATCH($K197,Lists!$A$4:$A$14,0)),0)))</f>
        <v/>
      </c>
    </row>
    <row r="198" customFormat="false" ht="15" hidden="false" customHeight="false" outlineLevel="0" collapsed="false">
      <c r="A198" s="25" t="str">
        <f aca="false">IF($B198="","","C-"&amp;TEXT(ROW()-1,"0000"))</f>
        <v/>
      </c>
      <c r="B198" s="21"/>
      <c r="C198" s="21"/>
      <c r="D198" s="21"/>
      <c r="E198" s="21"/>
      <c r="F198" s="25" t="str">
        <f aca="false">IF($E198="","",IFERROR(INDEX(Requisitions!$B$2:$B$101,MATCH($E198,Requisitions!$A$2:$A$101,0)),"Unknown Req"))</f>
        <v/>
      </c>
      <c r="G198" s="25" t="str">
        <f aca="false">IF($E198="","",IFERROR(INDEX(Requisitions!$D$2:$D$101,MATCH($E198,Requisitions!$A$2:$A$101,0)),""))</f>
        <v/>
      </c>
      <c r="H198" s="21"/>
      <c r="I198" s="21"/>
      <c r="J198" s="22"/>
      <c r="K198" s="21"/>
      <c r="L198" s="22"/>
      <c r="M198" s="25" t="str">
        <f aca="false">IF($K198="","",IFERROR(INDEX(Lists!$D$4:$D$14,MATCH($K198,Lists!$A$4:$A$14,0)),"Check stage"))</f>
        <v/>
      </c>
      <c r="N198" s="21"/>
      <c r="O198" s="21"/>
      <c r="P198" s="26"/>
      <c r="Q198" s="26"/>
      <c r="R198" s="21"/>
      <c r="S198" s="21"/>
      <c r="T198" s="22"/>
      <c r="U198" s="22"/>
      <c r="V198" s="24" t="str">
        <f aca="false">IF(OR(N($P198)=0,$Q198=""),"",$Q198/$P198-1)</f>
        <v/>
      </c>
      <c r="W198" s="25" t="str">
        <f aca="true">IF($J198="","",IF($M198="Active",TODAY(),IF($U198&lt;&gt;"",$U198,IF($L198&lt;&gt;"",$L198,TODAY())))-$J198)</f>
        <v/>
      </c>
      <c r="X198" s="25" t="str">
        <f aca="true">IF(OR($L198="",$M198&lt;&gt;"Active"),"",TODAY()-$L198)</f>
        <v/>
      </c>
      <c r="Y198" s="25" t="str">
        <f aca="false">IF($M198&lt;&gt;"Active","",INDEX(Lists!$C$4:$C$14,MATCH($K198,Lists!$A$4:$A$14,0)))</f>
        <v/>
      </c>
      <c r="Z198" s="25" t="str">
        <f aca="false">IF($B198="","",IF($M198&lt;&gt;"Active","Closed",IF($X198="","",IF($X198&gt;$Y198,"BREACH","On Track"))))</f>
        <v/>
      </c>
      <c r="AA198" s="25" t="str">
        <f aca="false">IF($K198="","",IFERROR(INDEX(Lists!$E$4:$E$14,MATCH($K198,Lists!$A$4:$A$14,0)),""))</f>
        <v/>
      </c>
      <c r="AB198" s="27" t="str">
        <f aca="false">IF($U198&lt;&gt;"",$U198,IF(OR($T198="",$M198&lt;&gt;"Active"),"",$T198+N($R198)))</f>
        <v/>
      </c>
      <c r="AC198" s="25" t="str">
        <f aca="false">IF(OR($T198="",$J198=""),"",$T198-$J198)</f>
        <v/>
      </c>
      <c r="AD198" s="25" t="str">
        <f aca="false">IF(AND($K198="Joined",$U198&lt;&gt;"",$J198&lt;&gt;""),$U198-$J198,"")</f>
        <v/>
      </c>
      <c r="AE198" s="25" t="str">
        <f aca="false">IF($K198="","",IF(OR($K198="Rejected",$K198="Withdrawn"),IFERROR(INDEX(Lists!$B$4:$B$14,MATCH($N198,Lists!$A$4:$A$14,0)),1),IFERROR(INDEX(Lists!$B$4:$B$14,MATCH($K198,Lists!$A$4:$A$14,0)),0)))</f>
        <v/>
      </c>
    </row>
    <row r="199" customFormat="false" ht="15" hidden="false" customHeight="false" outlineLevel="0" collapsed="false">
      <c r="A199" s="25" t="str">
        <f aca="false">IF($B199="","","C-"&amp;TEXT(ROW()-1,"0000"))</f>
        <v/>
      </c>
      <c r="B199" s="21"/>
      <c r="C199" s="21"/>
      <c r="D199" s="21"/>
      <c r="E199" s="21"/>
      <c r="F199" s="25" t="str">
        <f aca="false">IF($E199="","",IFERROR(INDEX(Requisitions!$B$2:$B$101,MATCH($E199,Requisitions!$A$2:$A$101,0)),"Unknown Req"))</f>
        <v/>
      </c>
      <c r="G199" s="25" t="str">
        <f aca="false">IF($E199="","",IFERROR(INDEX(Requisitions!$D$2:$D$101,MATCH($E199,Requisitions!$A$2:$A$101,0)),""))</f>
        <v/>
      </c>
      <c r="H199" s="21"/>
      <c r="I199" s="21"/>
      <c r="J199" s="22"/>
      <c r="K199" s="21"/>
      <c r="L199" s="22"/>
      <c r="M199" s="25" t="str">
        <f aca="false">IF($K199="","",IFERROR(INDEX(Lists!$D$4:$D$14,MATCH($K199,Lists!$A$4:$A$14,0)),"Check stage"))</f>
        <v/>
      </c>
      <c r="N199" s="21"/>
      <c r="O199" s="21"/>
      <c r="P199" s="26"/>
      <c r="Q199" s="26"/>
      <c r="R199" s="21"/>
      <c r="S199" s="21"/>
      <c r="T199" s="22"/>
      <c r="U199" s="22"/>
      <c r="V199" s="24" t="str">
        <f aca="false">IF(OR(N($P199)=0,$Q199=""),"",$Q199/$P199-1)</f>
        <v/>
      </c>
      <c r="W199" s="25" t="str">
        <f aca="true">IF($J199="","",IF($M199="Active",TODAY(),IF($U199&lt;&gt;"",$U199,IF($L199&lt;&gt;"",$L199,TODAY())))-$J199)</f>
        <v/>
      </c>
      <c r="X199" s="25" t="str">
        <f aca="true">IF(OR($L199="",$M199&lt;&gt;"Active"),"",TODAY()-$L199)</f>
        <v/>
      </c>
      <c r="Y199" s="25" t="str">
        <f aca="false">IF($M199&lt;&gt;"Active","",INDEX(Lists!$C$4:$C$14,MATCH($K199,Lists!$A$4:$A$14,0)))</f>
        <v/>
      </c>
      <c r="Z199" s="25" t="str">
        <f aca="false">IF($B199="","",IF($M199&lt;&gt;"Active","Closed",IF($X199="","",IF($X199&gt;$Y199,"BREACH","On Track"))))</f>
        <v/>
      </c>
      <c r="AA199" s="25" t="str">
        <f aca="false">IF($K199="","",IFERROR(INDEX(Lists!$E$4:$E$14,MATCH($K199,Lists!$A$4:$A$14,0)),""))</f>
        <v/>
      </c>
      <c r="AB199" s="27" t="str">
        <f aca="false">IF($U199&lt;&gt;"",$U199,IF(OR($T199="",$M199&lt;&gt;"Active"),"",$T199+N($R199)))</f>
        <v/>
      </c>
      <c r="AC199" s="25" t="str">
        <f aca="false">IF(OR($T199="",$J199=""),"",$T199-$J199)</f>
        <v/>
      </c>
      <c r="AD199" s="25" t="str">
        <f aca="false">IF(AND($K199="Joined",$U199&lt;&gt;"",$J199&lt;&gt;""),$U199-$J199,"")</f>
        <v/>
      </c>
      <c r="AE199" s="25" t="str">
        <f aca="false">IF($K199="","",IF(OR($K199="Rejected",$K199="Withdrawn"),IFERROR(INDEX(Lists!$B$4:$B$14,MATCH($N199,Lists!$A$4:$A$14,0)),1),IFERROR(INDEX(Lists!$B$4:$B$14,MATCH($K199,Lists!$A$4:$A$14,0)),0)))</f>
        <v/>
      </c>
    </row>
    <row r="200" customFormat="false" ht="15" hidden="false" customHeight="false" outlineLevel="0" collapsed="false">
      <c r="A200" s="25" t="str">
        <f aca="false">IF($B200="","","C-"&amp;TEXT(ROW()-1,"0000"))</f>
        <v/>
      </c>
      <c r="B200" s="21"/>
      <c r="C200" s="21"/>
      <c r="D200" s="21"/>
      <c r="E200" s="21"/>
      <c r="F200" s="25" t="str">
        <f aca="false">IF($E200="","",IFERROR(INDEX(Requisitions!$B$2:$B$101,MATCH($E200,Requisitions!$A$2:$A$101,0)),"Unknown Req"))</f>
        <v/>
      </c>
      <c r="G200" s="25" t="str">
        <f aca="false">IF($E200="","",IFERROR(INDEX(Requisitions!$D$2:$D$101,MATCH($E200,Requisitions!$A$2:$A$101,0)),""))</f>
        <v/>
      </c>
      <c r="H200" s="21"/>
      <c r="I200" s="21"/>
      <c r="J200" s="22"/>
      <c r="K200" s="21"/>
      <c r="L200" s="22"/>
      <c r="M200" s="25" t="str">
        <f aca="false">IF($K200="","",IFERROR(INDEX(Lists!$D$4:$D$14,MATCH($K200,Lists!$A$4:$A$14,0)),"Check stage"))</f>
        <v/>
      </c>
      <c r="N200" s="21"/>
      <c r="O200" s="21"/>
      <c r="P200" s="26"/>
      <c r="Q200" s="26"/>
      <c r="R200" s="21"/>
      <c r="S200" s="21"/>
      <c r="T200" s="22"/>
      <c r="U200" s="22"/>
      <c r="V200" s="24" t="str">
        <f aca="false">IF(OR(N($P200)=0,$Q200=""),"",$Q200/$P200-1)</f>
        <v/>
      </c>
      <c r="W200" s="25" t="str">
        <f aca="true">IF($J200="","",IF($M200="Active",TODAY(),IF($U200&lt;&gt;"",$U200,IF($L200&lt;&gt;"",$L200,TODAY())))-$J200)</f>
        <v/>
      </c>
      <c r="X200" s="25" t="str">
        <f aca="true">IF(OR($L200="",$M200&lt;&gt;"Active"),"",TODAY()-$L200)</f>
        <v/>
      </c>
      <c r="Y200" s="25" t="str">
        <f aca="false">IF($M200&lt;&gt;"Active","",INDEX(Lists!$C$4:$C$14,MATCH($K200,Lists!$A$4:$A$14,0)))</f>
        <v/>
      </c>
      <c r="Z200" s="25" t="str">
        <f aca="false">IF($B200="","",IF($M200&lt;&gt;"Active","Closed",IF($X200="","",IF($X200&gt;$Y200,"BREACH","On Track"))))</f>
        <v/>
      </c>
      <c r="AA200" s="25" t="str">
        <f aca="false">IF($K200="","",IFERROR(INDEX(Lists!$E$4:$E$14,MATCH($K200,Lists!$A$4:$A$14,0)),""))</f>
        <v/>
      </c>
      <c r="AB200" s="27" t="str">
        <f aca="false">IF($U200&lt;&gt;"",$U200,IF(OR($T200="",$M200&lt;&gt;"Active"),"",$T200+N($R200)))</f>
        <v/>
      </c>
      <c r="AC200" s="25" t="str">
        <f aca="false">IF(OR($T200="",$J200=""),"",$T200-$J200)</f>
        <v/>
      </c>
      <c r="AD200" s="25" t="str">
        <f aca="false">IF(AND($K200="Joined",$U200&lt;&gt;"",$J200&lt;&gt;""),$U200-$J200,"")</f>
        <v/>
      </c>
      <c r="AE200" s="25" t="str">
        <f aca="false">IF($K200="","",IF(OR($K200="Rejected",$K200="Withdrawn"),IFERROR(INDEX(Lists!$B$4:$B$14,MATCH($N200,Lists!$A$4:$A$14,0)),1),IFERROR(INDEX(Lists!$B$4:$B$14,MATCH($K200,Lists!$A$4:$A$14,0)),0)))</f>
        <v/>
      </c>
    </row>
    <row r="201" customFormat="false" ht="15" hidden="false" customHeight="false" outlineLevel="0" collapsed="false">
      <c r="A201" s="25" t="str">
        <f aca="false">IF($B201="","","C-"&amp;TEXT(ROW()-1,"0000"))</f>
        <v/>
      </c>
      <c r="B201" s="21"/>
      <c r="C201" s="21"/>
      <c r="D201" s="21"/>
      <c r="E201" s="21"/>
      <c r="F201" s="25" t="str">
        <f aca="false">IF($E201="","",IFERROR(INDEX(Requisitions!$B$2:$B$101,MATCH($E201,Requisitions!$A$2:$A$101,0)),"Unknown Req"))</f>
        <v/>
      </c>
      <c r="G201" s="25" t="str">
        <f aca="false">IF($E201="","",IFERROR(INDEX(Requisitions!$D$2:$D$101,MATCH($E201,Requisitions!$A$2:$A$101,0)),""))</f>
        <v/>
      </c>
      <c r="H201" s="21"/>
      <c r="I201" s="21"/>
      <c r="J201" s="22"/>
      <c r="K201" s="21"/>
      <c r="L201" s="22"/>
      <c r="M201" s="25" t="str">
        <f aca="false">IF($K201="","",IFERROR(INDEX(Lists!$D$4:$D$14,MATCH($K201,Lists!$A$4:$A$14,0)),"Check stage"))</f>
        <v/>
      </c>
      <c r="N201" s="21"/>
      <c r="O201" s="21"/>
      <c r="P201" s="26"/>
      <c r="Q201" s="26"/>
      <c r="R201" s="21"/>
      <c r="S201" s="21"/>
      <c r="T201" s="22"/>
      <c r="U201" s="22"/>
      <c r="V201" s="24" t="str">
        <f aca="false">IF(OR(N($P201)=0,$Q201=""),"",$Q201/$P201-1)</f>
        <v/>
      </c>
      <c r="W201" s="25" t="str">
        <f aca="true">IF($J201="","",IF($M201="Active",TODAY(),IF($U201&lt;&gt;"",$U201,IF($L201&lt;&gt;"",$L201,TODAY())))-$J201)</f>
        <v/>
      </c>
      <c r="X201" s="25" t="str">
        <f aca="true">IF(OR($L201="",$M201&lt;&gt;"Active"),"",TODAY()-$L201)</f>
        <v/>
      </c>
      <c r="Y201" s="25" t="str">
        <f aca="false">IF($M201&lt;&gt;"Active","",INDEX(Lists!$C$4:$C$14,MATCH($K201,Lists!$A$4:$A$14,0)))</f>
        <v/>
      </c>
      <c r="Z201" s="25" t="str">
        <f aca="false">IF($B201="","",IF($M201&lt;&gt;"Active","Closed",IF($X201="","",IF($X201&gt;$Y201,"BREACH","On Track"))))</f>
        <v/>
      </c>
      <c r="AA201" s="25" t="str">
        <f aca="false">IF($K201="","",IFERROR(INDEX(Lists!$E$4:$E$14,MATCH($K201,Lists!$A$4:$A$14,0)),""))</f>
        <v/>
      </c>
      <c r="AB201" s="27" t="str">
        <f aca="false">IF($U201&lt;&gt;"",$U201,IF(OR($T201="",$M201&lt;&gt;"Active"),"",$T201+N($R201)))</f>
        <v/>
      </c>
      <c r="AC201" s="25" t="str">
        <f aca="false">IF(OR($T201="",$J201=""),"",$T201-$J201)</f>
        <v/>
      </c>
      <c r="AD201" s="25" t="str">
        <f aca="false">IF(AND($K201="Joined",$U201&lt;&gt;"",$J201&lt;&gt;""),$U201-$J201,"")</f>
        <v/>
      </c>
      <c r="AE201" s="25" t="str">
        <f aca="false">IF($K201="","",IF(OR($K201="Rejected",$K201="Withdrawn"),IFERROR(INDEX(Lists!$B$4:$B$14,MATCH($N201,Lists!$A$4:$A$14,0)),1),IFERROR(INDEX(Lists!$B$4:$B$14,MATCH($K201,Lists!$A$4:$A$14,0)),0)))</f>
        <v/>
      </c>
    </row>
    <row r="202" customFormat="false" ht="15" hidden="false" customHeight="false" outlineLevel="0" collapsed="false">
      <c r="A202" s="25" t="str">
        <f aca="false">IF($B202="","","C-"&amp;TEXT(ROW()-1,"0000"))</f>
        <v/>
      </c>
      <c r="B202" s="21"/>
      <c r="C202" s="21"/>
      <c r="D202" s="21"/>
      <c r="E202" s="21"/>
      <c r="F202" s="25" t="str">
        <f aca="false">IF($E202="","",IFERROR(INDEX(Requisitions!$B$2:$B$101,MATCH($E202,Requisitions!$A$2:$A$101,0)),"Unknown Req"))</f>
        <v/>
      </c>
      <c r="G202" s="25" t="str">
        <f aca="false">IF($E202="","",IFERROR(INDEX(Requisitions!$D$2:$D$101,MATCH($E202,Requisitions!$A$2:$A$101,0)),""))</f>
        <v/>
      </c>
      <c r="H202" s="21"/>
      <c r="I202" s="21"/>
      <c r="J202" s="22"/>
      <c r="K202" s="21"/>
      <c r="L202" s="22"/>
      <c r="M202" s="25" t="str">
        <f aca="false">IF($K202="","",IFERROR(INDEX(Lists!$D$4:$D$14,MATCH($K202,Lists!$A$4:$A$14,0)),"Check stage"))</f>
        <v/>
      </c>
      <c r="N202" s="21"/>
      <c r="O202" s="21"/>
      <c r="P202" s="26"/>
      <c r="Q202" s="26"/>
      <c r="R202" s="21"/>
      <c r="S202" s="21"/>
      <c r="T202" s="22"/>
      <c r="U202" s="22"/>
      <c r="V202" s="24" t="str">
        <f aca="false">IF(OR(N($P202)=0,$Q202=""),"",$Q202/$P202-1)</f>
        <v/>
      </c>
      <c r="W202" s="25" t="str">
        <f aca="true">IF($J202="","",IF($M202="Active",TODAY(),IF($U202&lt;&gt;"",$U202,IF($L202&lt;&gt;"",$L202,TODAY())))-$J202)</f>
        <v/>
      </c>
      <c r="X202" s="25" t="str">
        <f aca="true">IF(OR($L202="",$M202&lt;&gt;"Active"),"",TODAY()-$L202)</f>
        <v/>
      </c>
      <c r="Y202" s="25" t="str">
        <f aca="false">IF($M202&lt;&gt;"Active","",INDEX(Lists!$C$4:$C$14,MATCH($K202,Lists!$A$4:$A$14,0)))</f>
        <v/>
      </c>
      <c r="Z202" s="25" t="str">
        <f aca="false">IF($B202="","",IF($M202&lt;&gt;"Active","Closed",IF($X202="","",IF($X202&gt;$Y202,"BREACH","On Track"))))</f>
        <v/>
      </c>
      <c r="AA202" s="25" t="str">
        <f aca="false">IF($K202="","",IFERROR(INDEX(Lists!$E$4:$E$14,MATCH($K202,Lists!$A$4:$A$14,0)),""))</f>
        <v/>
      </c>
      <c r="AB202" s="27" t="str">
        <f aca="false">IF($U202&lt;&gt;"",$U202,IF(OR($T202="",$M202&lt;&gt;"Active"),"",$T202+N($R202)))</f>
        <v/>
      </c>
      <c r="AC202" s="25" t="str">
        <f aca="false">IF(OR($T202="",$J202=""),"",$T202-$J202)</f>
        <v/>
      </c>
      <c r="AD202" s="25" t="str">
        <f aca="false">IF(AND($K202="Joined",$U202&lt;&gt;"",$J202&lt;&gt;""),$U202-$J202,"")</f>
        <v/>
      </c>
      <c r="AE202" s="25" t="str">
        <f aca="false">IF($K202="","",IF(OR($K202="Rejected",$K202="Withdrawn"),IFERROR(INDEX(Lists!$B$4:$B$14,MATCH($N202,Lists!$A$4:$A$14,0)),1),IFERROR(INDEX(Lists!$B$4:$B$14,MATCH($K202,Lists!$A$4:$A$14,0)),0)))</f>
        <v/>
      </c>
    </row>
    <row r="203" customFormat="false" ht="15" hidden="false" customHeight="false" outlineLevel="0" collapsed="false">
      <c r="A203" s="25" t="str">
        <f aca="false">IF($B203="","","C-"&amp;TEXT(ROW()-1,"0000"))</f>
        <v/>
      </c>
      <c r="B203" s="21"/>
      <c r="C203" s="21"/>
      <c r="D203" s="21"/>
      <c r="E203" s="21"/>
      <c r="F203" s="25" t="str">
        <f aca="false">IF($E203="","",IFERROR(INDEX(Requisitions!$B$2:$B$101,MATCH($E203,Requisitions!$A$2:$A$101,0)),"Unknown Req"))</f>
        <v/>
      </c>
      <c r="G203" s="25" t="str">
        <f aca="false">IF($E203="","",IFERROR(INDEX(Requisitions!$D$2:$D$101,MATCH($E203,Requisitions!$A$2:$A$101,0)),""))</f>
        <v/>
      </c>
      <c r="H203" s="21"/>
      <c r="I203" s="21"/>
      <c r="J203" s="22"/>
      <c r="K203" s="21"/>
      <c r="L203" s="22"/>
      <c r="M203" s="25" t="str">
        <f aca="false">IF($K203="","",IFERROR(INDEX(Lists!$D$4:$D$14,MATCH($K203,Lists!$A$4:$A$14,0)),"Check stage"))</f>
        <v/>
      </c>
      <c r="N203" s="21"/>
      <c r="O203" s="21"/>
      <c r="P203" s="26"/>
      <c r="Q203" s="26"/>
      <c r="R203" s="21"/>
      <c r="S203" s="21"/>
      <c r="T203" s="22"/>
      <c r="U203" s="22"/>
      <c r="V203" s="24" t="str">
        <f aca="false">IF(OR(N($P203)=0,$Q203=""),"",$Q203/$P203-1)</f>
        <v/>
      </c>
      <c r="W203" s="25" t="str">
        <f aca="true">IF($J203="","",IF($M203="Active",TODAY(),IF($U203&lt;&gt;"",$U203,IF($L203&lt;&gt;"",$L203,TODAY())))-$J203)</f>
        <v/>
      </c>
      <c r="X203" s="25" t="str">
        <f aca="true">IF(OR($L203="",$M203&lt;&gt;"Active"),"",TODAY()-$L203)</f>
        <v/>
      </c>
      <c r="Y203" s="25" t="str">
        <f aca="false">IF($M203&lt;&gt;"Active","",INDEX(Lists!$C$4:$C$14,MATCH($K203,Lists!$A$4:$A$14,0)))</f>
        <v/>
      </c>
      <c r="Z203" s="25" t="str">
        <f aca="false">IF($B203="","",IF($M203&lt;&gt;"Active","Closed",IF($X203="","",IF($X203&gt;$Y203,"BREACH","On Track"))))</f>
        <v/>
      </c>
      <c r="AA203" s="25" t="str">
        <f aca="false">IF($K203="","",IFERROR(INDEX(Lists!$E$4:$E$14,MATCH($K203,Lists!$A$4:$A$14,0)),""))</f>
        <v/>
      </c>
      <c r="AB203" s="27" t="str">
        <f aca="false">IF($U203&lt;&gt;"",$U203,IF(OR($T203="",$M203&lt;&gt;"Active"),"",$T203+N($R203)))</f>
        <v/>
      </c>
      <c r="AC203" s="25" t="str">
        <f aca="false">IF(OR($T203="",$J203=""),"",$T203-$J203)</f>
        <v/>
      </c>
      <c r="AD203" s="25" t="str">
        <f aca="false">IF(AND($K203="Joined",$U203&lt;&gt;"",$J203&lt;&gt;""),$U203-$J203,"")</f>
        <v/>
      </c>
      <c r="AE203" s="25" t="str">
        <f aca="false">IF($K203="","",IF(OR($K203="Rejected",$K203="Withdrawn"),IFERROR(INDEX(Lists!$B$4:$B$14,MATCH($N203,Lists!$A$4:$A$14,0)),1),IFERROR(INDEX(Lists!$B$4:$B$14,MATCH($K203,Lists!$A$4:$A$14,0)),0)))</f>
        <v/>
      </c>
    </row>
    <row r="204" customFormat="false" ht="15" hidden="false" customHeight="false" outlineLevel="0" collapsed="false">
      <c r="A204" s="25" t="str">
        <f aca="false">IF($B204="","","C-"&amp;TEXT(ROW()-1,"0000"))</f>
        <v/>
      </c>
      <c r="B204" s="21"/>
      <c r="C204" s="21"/>
      <c r="D204" s="21"/>
      <c r="E204" s="21"/>
      <c r="F204" s="25" t="str">
        <f aca="false">IF($E204="","",IFERROR(INDEX(Requisitions!$B$2:$B$101,MATCH($E204,Requisitions!$A$2:$A$101,0)),"Unknown Req"))</f>
        <v/>
      </c>
      <c r="G204" s="25" t="str">
        <f aca="false">IF($E204="","",IFERROR(INDEX(Requisitions!$D$2:$D$101,MATCH($E204,Requisitions!$A$2:$A$101,0)),""))</f>
        <v/>
      </c>
      <c r="H204" s="21"/>
      <c r="I204" s="21"/>
      <c r="J204" s="22"/>
      <c r="K204" s="21"/>
      <c r="L204" s="22"/>
      <c r="M204" s="25" t="str">
        <f aca="false">IF($K204="","",IFERROR(INDEX(Lists!$D$4:$D$14,MATCH($K204,Lists!$A$4:$A$14,0)),"Check stage"))</f>
        <v/>
      </c>
      <c r="N204" s="21"/>
      <c r="O204" s="21"/>
      <c r="P204" s="26"/>
      <c r="Q204" s="26"/>
      <c r="R204" s="21"/>
      <c r="S204" s="21"/>
      <c r="T204" s="22"/>
      <c r="U204" s="22"/>
      <c r="V204" s="24" t="str">
        <f aca="false">IF(OR(N($P204)=0,$Q204=""),"",$Q204/$P204-1)</f>
        <v/>
      </c>
      <c r="W204" s="25" t="str">
        <f aca="true">IF($J204="","",IF($M204="Active",TODAY(),IF($U204&lt;&gt;"",$U204,IF($L204&lt;&gt;"",$L204,TODAY())))-$J204)</f>
        <v/>
      </c>
      <c r="X204" s="25" t="str">
        <f aca="true">IF(OR($L204="",$M204&lt;&gt;"Active"),"",TODAY()-$L204)</f>
        <v/>
      </c>
      <c r="Y204" s="25" t="str">
        <f aca="false">IF($M204&lt;&gt;"Active","",INDEX(Lists!$C$4:$C$14,MATCH($K204,Lists!$A$4:$A$14,0)))</f>
        <v/>
      </c>
      <c r="Z204" s="25" t="str">
        <f aca="false">IF($B204="","",IF($M204&lt;&gt;"Active","Closed",IF($X204="","",IF($X204&gt;$Y204,"BREACH","On Track"))))</f>
        <v/>
      </c>
      <c r="AA204" s="25" t="str">
        <f aca="false">IF($K204="","",IFERROR(INDEX(Lists!$E$4:$E$14,MATCH($K204,Lists!$A$4:$A$14,0)),""))</f>
        <v/>
      </c>
      <c r="AB204" s="27" t="str">
        <f aca="false">IF($U204&lt;&gt;"",$U204,IF(OR($T204="",$M204&lt;&gt;"Active"),"",$T204+N($R204)))</f>
        <v/>
      </c>
      <c r="AC204" s="25" t="str">
        <f aca="false">IF(OR($T204="",$J204=""),"",$T204-$J204)</f>
        <v/>
      </c>
      <c r="AD204" s="25" t="str">
        <f aca="false">IF(AND($K204="Joined",$U204&lt;&gt;"",$J204&lt;&gt;""),$U204-$J204,"")</f>
        <v/>
      </c>
      <c r="AE204" s="25" t="str">
        <f aca="false">IF($K204="","",IF(OR($K204="Rejected",$K204="Withdrawn"),IFERROR(INDEX(Lists!$B$4:$B$14,MATCH($N204,Lists!$A$4:$A$14,0)),1),IFERROR(INDEX(Lists!$B$4:$B$14,MATCH($K204,Lists!$A$4:$A$14,0)),0)))</f>
        <v/>
      </c>
    </row>
    <row r="205" customFormat="false" ht="15" hidden="false" customHeight="false" outlineLevel="0" collapsed="false">
      <c r="A205" s="25" t="str">
        <f aca="false">IF($B205="","","C-"&amp;TEXT(ROW()-1,"0000"))</f>
        <v/>
      </c>
      <c r="B205" s="21"/>
      <c r="C205" s="21"/>
      <c r="D205" s="21"/>
      <c r="E205" s="21"/>
      <c r="F205" s="25" t="str">
        <f aca="false">IF($E205="","",IFERROR(INDEX(Requisitions!$B$2:$B$101,MATCH($E205,Requisitions!$A$2:$A$101,0)),"Unknown Req"))</f>
        <v/>
      </c>
      <c r="G205" s="25" t="str">
        <f aca="false">IF($E205="","",IFERROR(INDEX(Requisitions!$D$2:$D$101,MATCH($E205,Requisitions!$A$2:$A$101,0)),""))</f>
        <v/>
      </c>
      <c r="H205" s="21"/>
      <c r="I205" s="21"/>
      <c r="J205" s="22"/>
      <c r="K205" s="21"/>
      <c r="L205" s="22"/>
      <c r="M205" s="25" t="str">
        <f aca="false">IF($K205="","",IFERROR(INDEX(Lists!$D$4:$D$14,MATCH($K205,Lists!$A$4:$A$14,0)),"Check stage"))</f>
        <v/>
      </c>
      <c r="N205" s="21"/>
      <c r="O205" s="21"/>
      <c r="P205" s="26"/>
      <c r="Q205" s="26"/>
      <c r="R205" s="21"/>
      <c r="S205" s="21"/>
      <c r="T205" s="22"/>
      <c r="U205" s="22"/>
      <c r="V205" s="24" t="str">
        <f aca="false">IF(OR(N($P205)=0,$Q205=""),"",$Q205/$P205-1)</f>
        <v/>
      </c>
      <c r="W205" s="25" t="str">
        <f aca="true">IF($J205="","",IF($M205="Active",TODAY(),IF($U205&lt;&gt;"",$U205,IF($L205&lt;&gt;"",$L205,TODAY())))-$J205)</f>
        <v/>
      </c>
      <c r="X205" s="25" t="str">
        <f aca="true">IF(OR($L205="",$M205&lt;&gt;"Active"),"",TODAY()-$L205)</f>
        <v/>
      </c>
      <c r="Y205" s="25" t="str">
        <f aca="false">IF($M205&lt;&gt;"Active","",INDEX(Lists!$C$4:$C$14,MATCH($K205,Lists!$A$4:$A$14,0)))</f>
        <v/>
      </c>
      <c r="Z205" s="25" t="str">
        <f aca="false">IF($B205="","",IF($M205&lt;&gt;"Active","Closed",IF($X205="","",IF($X205&gt;$Y205,"BREACH","On Track"))))</f>
        <v/>
      </c>
      <c r="AA205" s="25" t="str">
        <f aca="false">IF($K205="","",IFERROR(INDEX(Lists!$E$4:$E$14,MATCH($K205,Lists!$A$4:$A$14,0)),""))</f>
        <v/>
      </c>
      <c r="AB205" s="27" t="str">
        <f aca="false">IF($U205&lt;&gt;"",$U205,IF(OR($T205="",$M205&lt;&gt;"Active"),"",$T205+N($R205)))</f>
        <v/>
      </c>
      <c r="AC205" s="25" t="str">
        <f aca="false">IF(OR($T205="",$J205=""),"",$T205-$J205)</f>
        <v/>
      </c>
      <c r="AD205" s="25" t="str">
        <f aca="false">IF(AND($K205="Joined",$U205&lt;&gt;"",$J205&lt;&gt;""),$U205-$J205,"")</f>
        <v/>
      </c>
      <c r="AE205" s="25" t="str">
        <f aca="false">IF($K205="","",IF(OR($K205="Rejected",$K205="Withdrawn"),IFERROR(INDEX(Lists!$B$4:$B$14,MATCH($N205,Lists!$A$4:$A$14,0)),1),IFERROR(INDEX(Lists!$B$4:$B$14,MATCH($K205,Lists!$A$4:$A$14,0)),0)))</f>
        <v/>
      </c>
    </row>
    <row r="206" customFormat="false" ht="15" hidden="false" customHeight="false" outlineLevel="0" collapsed="false">
      <c r="A206" s="25" t="str">
        <f aca="false">IF($B206="","","C-"&amp;TEXT(ROW()-1,"0000"))</f>
        <v/>
      </c>
      <c r="B206" s="21"/>
      <c r="C206" s="21"/>
      <c r="D206" s="21"/>
      <c r="E206" s="21"/>
      <c r="F206" s="25" t="str">
        <f aca="false">IF($E206="","",IFERROR(INDEX(Requisitions!$B$2:$B$101,MATCH($E206,Requisitions!$A$2:$A$101,0)),"Unknown Req"))</f>
        <v/>
      </c>
      <c r="G206" s="25" t="str">
        <f aca="false">IF($E206="","",IFERROR(INDEX(Requisitions!$D$2:$D$101,MATCH($E206,Requisitions!$A$2:$A$101,0)),""))</f>
        <v/>
      </c>
      <c r="H206" s="21"/>
      <c r="I206" s="21"/>
      <c r="J206" s="22"/>
      <c r="K206" s="21"/>
      <c r="L206" s="22"/>
      <c r="M206" s="25" t="str">
        <f aca="false">IF($K206="","",IFERROR(INDEX(Lists!$D$4:$D$14,MATCH($K206,Lists!$A$4:$A$14,0)),"Check stage"))</f>
        <v/>
      </c>
      <c r="N206" s="21"/>
      <c r="O206" s="21"/>
      <c r="P206" s="26"/>
      <c r="Q206" s="26"/>
      <c r="R206" s="21"/>
      <c r="S206" s="21"/>
      <c r="T206" s="22"/>
      <c r="U206" s="22"/>
      <c r="V206" s="24" t="str">
        <f aca="false">IF(OR(N($P206)=0,$Q206=""),"",$Q206/$P206-1)</f>
        <v/>
      </c>
      <c r="W206" s="25" t="str">
        <f aca="true">IF($J206="","",IF($M206="Active",TODAY(),IF($U206&lt;&gt;"",$U206,IF($L206&lt;&gt;"",$L206,TODAY())))-$J206)</f>
        <v/>
      </c>
      <c r="X206" s="25" t="str">
        <f aca="true">IF(OR($L206="",$M206&lt;&gt;"Active"),"",TODAY()-$L206)</f>
        <v/>
      </c>
      <c r="Y206" s="25" t="str">
        <f aca="false">IF($M206&lt;&gt;"Active","",INDEX(Lists!$C$4:$C$14,MATCH($K206,Lists!$A$4:$A$14,0)))</f>
        <v/>
      </c>
      <c r="Z206" s="25" t="str">
        <f aca="false">IF($B206="","",IF($M206&lt;&gt;"Active","Closed",IF($X206="","",IF($X206&gt;$Y206,"BREACH","On Track"))))</f>
        <v/>
      </c>
      <c r="AA206" s="25" t="str">
        <f aca="false">IF($K206="","",IFERROR(INDEX(Lists!$E$4:$E$14,MATCH($K206,Lists!$A$4:$A$14,0)),""))</f>
        <v/>
      </c>
      <c r="AB206" s="27" t="str">
        <f aca="false">IF($U206&lt;&gt;"",$U206,IF(OR($T206="",$M206&lt;&gt;"Active"),"",$T206+N($R206)))</f>
        <v/>
      </c>
      <c r="AC206" s="25" t="str">
        <f aca="false">IF(OR($T206="",$J206=""),"",$T206-$J206)</f>
        <v/>
      </c>
      <c r="AD206" s="25" t="str">
        <f aca="false">IF(AND($K206="Joined",$U206&lt;&gt;"",$J206&lt;&gt;""),$U206-$J206,"")</f>
        <v/>
      </c>
      <c r="AE206" s="25" t="str">
        <f aca="false">IF($K206="","",IF(OR($K206="Rejected",$K206="Withdrawn"),IFERROR(INDEX(Lists!$B$4:$B$14,MATCH($N206,Lists!$A$4:$A$14,0)),1),IFERROR(INDEX(Lists!$B$4:$B$14,MATCH($K206,Lists!$A$4:$A$14,0)),0)))</f>
        <v/>
      </c>
    </row>
    <row r="207" customFormat="false" ht="15" hidden="false" customHeight="false" outlineLevel="0" collapsed="false">
      <c r="A207" s="25" t="str">
        <f aca="false">IF($B207="","","C-"&amp;TEXT(ROW()-1,"0000"))</f>
        <v/>
      </c>
      <c r="B207" s="21"/>
      <c r="C207" s="21"/>
      <c r="D207" s="21"/>
      <c r="E207" s="21"/>
      <c r="F207" s="25" t="str">
        <f aca="false">IF($E207="","",IFERROR(INDEX(Requisitions!$B$2:$B$101,MATCH($E207,Requisitions!$A$2:$A$101,0)),"Unknown Req"))</f>
        <v/>
      </c>
      <c r="G207" s="25" t="str">
        <f aca="false">IF($E207="","",IFERROR(INDEX(Requisitions!$D$2:$D$101,MATCH($E207,Requisitions!$A$2:$A$101,0)),""))</f>
        <v/>
      </c>
      <c r="H207" s="21"/>
      <c r="I207" s="21"/>
      <c r="J207" s="22"/>
      <c r="K207" s="21"/>
      <c r="L207" s="22"/>
      <c r="M207" s="25" t="str">
        <f aca="false">IF($K207="","",IFERROR(INDEX(Lists!$D$4:$D$14,MATCH($K207,Lists!$A$4:$A$14,0)),"Check stage"))</f>
        <v/>
      </c>
      <c r="N207" s="21"/>
      <c r="O207" s="21"/>
      <c r="P207" s="26"/>
      <c r="Q207" s="26"/>
      <c r="R207" s="21"/>
      <c r="S207" s="21"/>
      <c r="T207" s="22"/>
      <c r="U207" s="22"/>
      <c r="V207" s="24" t="str">
        <f aca="false">IF(OR(N($P207)=0,$Q207=""),"",$Q207/$P207-1)</f>
        <v/>
      </c>
      <c r="W207" s="25" t="str">
        <f aca="true">IF($J207="","",IF($M207="Active",TODAY(),IF($U207&lt;&gt;"",$U207,IF($L207&lt;&gt;"",$L207,TODAY())))-$J207)</f>
        <v/>
      </c>
      <c r="X207" s="25" t="str">
        <f aca="true">IF(OR($L207="",$M207&lt;&gt;"Active"),"",TODAY()-$L207)</f>
        <v/>
      </c>
      <c r="Y207" s="25" t="str">
        <f aca="false">IF($M207&lt;&gt;"Active","",INDEX(Lists!$C$4:$C$14,MATCH($K207,Lists!$A$4:$A$14,0)))</f>
        <v/>
      </c>
      <c r="Z207" s="25" t="str">
        <f aca="false">IF($B207="","",IF($M207&lt;&gt;"Active","Closed",IF($X207="","",IF($X207&gt;$Y207,"BREACH","On Track"))))</f>
        <v/>
      </c>
      <c r="AA207" s="25" t="str">
        <f aca="false">IF($K207="","",IFERROR(INDEX(Lists!$E$4:$E$14,MATCH($K207,Lists!$A$4:$A$14,0)),""))</f>
        <v/>
      </c>
      <c r="AB207" s="27" t="str">
        <f aca="false">IF($U207&lt;&gt;"",$U207,IF(OR($T207="",$M207&lt;&gt;"Active"),"",$T207+N($R207)))</f>
        <v/>
      </c>
      <c r="AC207" s="25" t="str">
        <f aca="false">IF(OR($T207="",$J207=""),"",$T207-$J207)</f>
        <v/>
      </c>
      <c r="AD207" s="25" t="str">
        <f aca="false">IF(AND($K207="Joined",$U207&lt;&gt;"",$J207&lt;&gt;""),$U207-$J207,"")</f>
        <v/>
      </c>
      <c r="AE207" s="25" t="str">
        <f aca="false">IF($K207="","",IF(OR($K207="Rejected",$K207="Withdrawn"),IFERROR(INDEX(Lists!$B$4:$B$14,MATCH($N207,Lists!$A$4:$A$14,0)),1),IFERROR(INDEX(Lists!$B$4:$B$14,MATCH($K207,Lists!$A$4:$A$14,0)),0)))</f>
        <v/>
      </c>
    </row>
    <row r="208" customFormat="false" ht="15" hidden="false" customHeight="false" outlineLevel="0" collapsed="false">
      <c r="A208" s="25" t="str">
        <f aca="false">IF($B208="","","C-"&amp;TEXT(ROW()-1,"0000"))</f>
        <v/>
      </c>
      <c r="B208" s="21"/>
      <c r="C208" s="21"/>
      <c r="D208" s="21"/>
      <c r="E208" s="21"/>
      <c r="F208" s="25" t="str">
        <f aca="false">IF($E208="","",IFERROR(INDEX(Requisitions!$B$2:$B$101,MATCH($E208,Requisitions!$A$2:$A$101,0)),"Unknown Req"))</f>
        <v/>
      </c>
      <c r="G208" s="25" t="str">
        <f aca="false">IF($E208="","",IFERROR(INDEX(Requisitions!$D$2:$D$101,MATCH($E208,Requisitions!$A$2:$A$101,0)),""))</f>
        <v/>
      </c>
      <c r="H208" s="21"/>
      <c r="I208" s="21"/>
      <c r="J208" s="22"/>
      <c r="K208" s="21"/>
      <c r="L208" s="22"/>
      <c r="M208" s="25" t="str">
        <f aca="false">IF($K208="","",IFERROR(INDEX(Lists!$D$4:$D$14,MATCH($K208,Lists!$A$4:$A$14,0)),"Check stage"))</f>
        <v/>
      </c>
      <c r="N208" s="21"/>
      <c r="O208" s="21"/>
      <c r="P208" s="26"/>
      <c r="Q208" s="26"/>
      <c r="R208" s="21"/>
      <c r="S208" s="21"/>
      <c r="T208" s="22"/>
      <c r="U208" s="22"/>
      <c r="V208" s="24" t="str">
        <f aca="false">IF(OR(N($P208)=0,$Q208=""),"",$Q208/$P208-1)</f>
        <v/>
      </c>
      <c r="W208" s="25" t="str">
        <f aca="true">IF($J208="","",IF($M208="Active",TODAY(),IF($U208&lt;&gt;"",$U208,IF($L208&lt;&gt;"",$L208,TODAY())))-$J208)</f>
        <v/>
      </c>
      <c r="X208" s="25" t="str">
        <f aca="true">IF(OR($L208="",$M208&lt;&gt;"Active"),"",TODAY()-$L208)</f>
        <v/>
      </c>
      <c r="Y208" s="25" t="str">
        <f aca="false">IF($M208&lt;&gt;"Active","",INDEX(Lists!$C$4:$C$14,MATCH($K208,Lists!$A$4:$A$14,0)))</f>
        <v/>
      </c>
      <c r="Z208" s="25" t="str">
        <f aca="false">IF($B208="","",IF($M208&lt;&gt;"Active","Closed",IF($X208="","",IF($X208&gt;$Y208,"BREACH","On Track"))))</f>
        <v/>
      </c>
      <c r="AA208" s="25" t="str">
        <f aca="false">IF($K208="","",IFERROR(INDEX(Lists!$E$4:$E$14,MATCH($K208,Lists!$A$4:$A$14,0)),""))</f>
        <v/>
      </c>
      <c r="AB208" s="27" t="str">
        <f aca="false">IF($U208&lt;&gt;"",$U208,IF(OR($T208="",$M208&lt;&gt;"Active"),"",$T208+N($R208)))</f>
        <v/>
      </c>
      <c r="AC208" s="25" t="str">
        <f aca="false">IF(OR($T208="",$J208=""),"",$T208-$J208)</f>
        <v/>
      </c>
      <c r="AD208" s="25" t="str">
        <f aca="false">IF(AND($K208="Joined",$U208&lt;&gt;"",$J208&lt;&gt;""),$U208-$J208,"")</f>
        <v/>
      </c>
      <c r="AE208" s="25" t="str">
        <f aca="false">IF($K208="","",IF(OR($K208="Rejected",$K208="Withdrawn"),IFERROR(INDEX(Lists!$B$4:$B$14,MATCH($N208,Lists!$A$4:$A$14,0)),1),IFERROR(INDEX(Lists!$B$4:$B$14,MATCH($K208,Lists!$A$4:$A$14,0)),0)))</f>
        <v/>
      </c>
    </row>
    <row r="209" customFormat="false" ht="15" hidden="false" customHeight="false" outlineLevel="0" collapsed="false">
      <c r="A209" s="25" t="str">
        <f aca="false">IF($B209="","","C-"&amp;TEXT(ROW()-1,"0000"))</f>
        <v/>
      </c>
      <c r="B209" s="21"/>
      <c r="C209" s="21"/>
      <c r="D209" s="21"/>
      <c r="E209" s="21"/>
      <c r="F209" s="25" t="str">
        <f aca="false">IF($E209="","",IFERROR(INDEX(Requisitions!$B$2:$B$101,MATCH($E209,Requisitions!$A$2:$A$101,0)),"Unknown Req"))</f>
        <v/>
      </c>
      <c r="G209" s="25" t="str">
        <f aca="false">IF($E209="","",IFERROR(INDEX(Requisitions!$D$2:$D$101,MATCH($E209,Requisitions!$A$2:$A$101,0)),""))</f>
        <v/>
      </c>
      <c r="H209" s="21"/>
      <c r="I209" s="21"/>
      <c r="J209" s="22"/>
      <c r="K209" s="21"/>
      <c r="L209" s="22"/>
      <c r="M209" s="25" t="str">
        <f aca="false">IF($K209="","",IFERROR(INDEX(Lists!$D$4:$D$14,MATCH($K209,Lists!$A$4:$A$14,0)),"Check stage"))</f>
        <v/>
      </c>
      <c r="N209" s="21"/>
      <c r="O209" s="21"/>
      <c r="P209" s="26"/>
      <c r="Q209" s="26"/>
      <c r="R209" s="21"/>
      <c r="S209" s="21"/>
      <c r="T209" s="22"/>
      <c r="U209" s="22"/>
      <c r="V209" s="24" t="str">
        <f aca="false">IF(OR(N($P209)=0,$Q209=""),"",$Q209/$P209-1)</f>
        <v/>
      </c>
      <c r="W209" s="25" t="str">
        <f aca="true">IF($J209="","",IF($M209="Active",TODAY(),IF($U209&lt;&gt;"",$U209,IF($L209&lt;&gt;"",$L209,TODAY())))-$J209)</f>
        <v/>
      </c>
      <c r="X209" s="25" t="str">
        <f aca="true">IF(OR($L209="",$M209&lt;&gt;"Active"),"",TODAY()-$L209)</f>
        <v/>
      </c>
      <c r="Y209" s="25" t="str">
        <f aca="false">IF($M209&lt;&gt;"Active","",INDEX(Lists!$C$4:$C$14,MATCH($K209,Lists!$A$4:$A$14,0)))</f>
        <v/>
      </c>
      <c r="Z209" s="25" t="str">
        <f aca="false">IF($B209="","",IF($M209&lt;&gt;"Active","Closed",IF($X209="","",IF($X209&gt;$Y209,"BREACH","On Track"))))</f>
        <v/>
      </c>
      <c r="AA209" s="25" t="str">
        <f aca="false">IF($K209="","",IFERROR(INDEX(Lists!$E$4:$E$14,MATCH($K209,Lists!$A$4:$A$14,0)),""))</f>
        <v/>
      </c>
      <c r="AB209" s="27" t="str">
        <f aca="false">IF($U209&lt;&gt;"",$U209,IF(OR($T209="",$M209&lt;&gt;"Active"),"",$T209+N($R209)))</f>
        <v/>
      </c>
      <c r="AC209" s="25" t="str">
        <f aca="false">IF(OR($T209="",$J209=""),"",$T209-$J209)</f>
        <v/>
      </c>
      <c r="AD209" s="25" t="str">
        <f aca="false">IF(AND($K209="Joined",$U209&lt;&gt;"",$J209&lt;&gt;""),$U209-$J209,"")</f>
        <v/>
      </c>
      <c r="AE209" s="25" t="str">
        <f aca="false">IF($K209="","",IF(OR($K209="Rejected",$K209="Withdrawn"),IFERROR(INDEX(Lists!$B$4:$B$14,MATCH($N209,Lists!$A$4:$A$14,0)),1),IFERROR(INDEX(Lists!$B$4:$B$14,MATCH($K209,Lists!$A$4:$A$14,0)),0)))</f>
        <v/>
      </c>
    </row>
    <row r="210" customFormat="false" ht="15" hidden="false" customHeight="false" outlineLevel="0" collapsed="false">
      <c r="A210" s="25" t="str">
        <f aca="false">IF($B210="","","C-"&amp;TEXT(ROW()-1,"0000"))</f>
        <v/>
      </c>
      <c r="B210" s="21"/>
      <c r="C210" s="21"/>
      <c r="D210" s="21"/>
      <c r="E210" s="21"/>
      <c r="F210" s="25" t="str">
        <f aca="false">IF($E210="","",IFERROR(INDEX(Requisitions!$B$2:$B$101,MATCH($E210,Requisitions!$A$2:$A$101,0)),"Unknown Req"))</f>
        <v/>
      </c>
      <c r="G210" s="25" t="str">
        <f aca="false">IF($E210="","",IFERROR(INDEX(Requisitions!$D$2:$D$101,MATCH($E210,Requisitions!$A$2:$A$101,0)),""))</f>
        <v/>
      </c>
      <c r="H210" s="21"/>
      <c r="I210" s="21"/>
      <c r="J210" s="22"/>
      <c r="K210" s="21"/>
      <c r="L210" s="22"/>
      <c r="M210" s="25" t="str">
        <f aca="false">IF($K210="","",IFERROR(INDEX(Lists!$D$4:$D$14,MATCH($K210,Lists!$A$4:$A$14,0)),"Check stage"))</f>
        <v/>
      </c>
      <c r="N210" s="21"/>
      <c r="O210" s="21"/>
      <c r="P210" s="26"/>
      <c r="Q210" s="26"/>
      <c r="R210" s="21"/>
      <c r="S210" s="21"/>
      <c r="T210" s="22"/>
      <c r="U210" s="22"/>
      <c r="V210" s="24" t="str">
        <f aca="false">IF(OR(N($P210)=0,$Q210=""),"",$Q210/$P210-1)</f>
        <v/>
      </c>
      <c r="W210" s="25" t="str">
        <f aca="true">IF($J210="","",IF($M210="Active",TODAY(),IF($U210&lt;&gt;"",$U210,IF($L210&lt;&gt;"",$L210,TODAY())))-$J210)</f>
        <v/>
      </c>
      <c r="X210" s="25" t="str">
        <f aca="true">IF(OR($L210="",$M210&lt;&gt;"Active"),"",TODAY()-$L210)</f>
        <v/>
      </c>
      <c r="Y210" s="25" t="str">
        <f aca="false">IF($M210&lt;&gt;"Active","",INDEX(Lists!$C$4:$C$14,MATCH($K210,Lists!$A$4:$A$14,0)))</f>
        <v/>
      </c>
      <c r="Z210" s="25" t="str">
        <f aca="false">IF($B210="","",IF($M210&lt;&gt;"Active","Closed",IF($X210="","",IF($X210&gt;$Y210,"BREACH","On Track"))))</f>
        <v/>
      </c>
      <c r="AA210" s="25" t="str">
        <f aca="false">IF($K210="","",IFERROR(INDEX(Lists!$E$4:$E$14,MATCH($K210,Lists!$A$4:$A$14,0)),""))</f>
        <v/>
      </c>
      <c r="AB210" s="27" t="str">
        <f aca="false">IF($U210&lt;&gt;"",$U210,IF(OR($T210="",$M210&lt;&gt;"Active"),"",$T210+N($R210)))</f>
        <v/>
      </c>
      <c r="AC210" s="25" t="str">
        <f aca="false">IF(OR($T210="",$J210=""),"",$T210-$J210)</f>
        <v/>
      </c>
      <c r="AD210" s="25" t="str">
        <f aca="false">IF(AND($K210="Joined",$U210&lt;&gt;"",$J210&lt;&gt;""),$U210-$J210,"")</f>
        <v/>
      </c>
      <c r="AE210" s="25" t="str">
        <f aca="false">IF($K210="","",IF(OR($K210="Rejected",$K210="Withdrawn"),IFERROR(INDEX(Lists!$B$4:$B$14,MATCH($N210,Lists!$A$4:$A$14,0)),1),IFERROR(INDEX(Lists!$B$4:$B$14,MATCH($K210,Lists!$A$4:$A$14,0)),0)))</f>
        <v/>
      </c>
    </row>
    <row r="211" customFormat="false" ht="15" hidden="false" customHeight="false" outlineLevel="0" collapsed="false">
      <c r="A211" s="25" t="str">
        <f aca="false">IF($B211="","","C-"&amp;TEXT(ROW()-1,"0000"))</f>
        <v/>
      </c>
      <c r="B211" s="21"/>
      <c r="C211" s="21"/>
      <c r="D211" s="21"/>
      <c r="E211" s="21"/>
      <c r="F211" s="25" t="str">
        <f aca="false">IF($E211="","",IFERROR(INDEX(Requisitions!$B$2:$B$101,MATCH($E211,Requisitions!$A$2:$A$101,0)),"Unknown Req"))</f>
        <v/>
      </c>
      <c r="G211" s="25" t="str">
        <f aca="false">IF($E211="","",IFERROR(INDEX(Requisitions!$D$2:$D$101,MATCH($E211,Requisitions!$A$2:$A$101,0)),""))</f>
        <v/>
      </c>
      <c r="H211" s="21"/>
      <c r="I211" s="21"/>
      <c r="J211" s="22"/>
      <c r="K211" s="21"/>
      <c r="L211" s="22"/>
      <c r="M211" s="25" t="str">
        <f aca="false">IF($K211="","",IFERROR(INDEX(Lists!$D$4:$D$14,MATCH($K211,Lists!$A$4:$A$14,0)),"Check stage"))</f>
        <v/>
      </c>
      <c r="N211" s="21"/>
      <c r="O211" s="21"/>
      <c r="P211" s="26"/>
      <c r="Q211" s="26"/>
      <c r="R211" s="21"/>
      <c r="S211" s="21"/>
      <c r="T211" s="22"/>
      <c r="U211" s="22"/>
      <c r="V211" s="24" t="str">
        <f aca="false">IF(OR(N($P211)=0,$Q211=""),"",$Q211/$P211-1)</f>
        <v/>
      </c>
      <c r="W211" s="25" t="str">
        <f aca="true">IF($J211="","",IF($M211="Active",TODAY(),IF($U211&lt;&gt;"",$U211,IF($L211&lt;&gt;"",$L211,TODAY())))-$J211)</f>
        <v/>
      </c>
      <c r="X211" s="25" t="str">
        <f aca="true">IF(OR($L211="",$M211&lt;&gt;"Active"),"",TODAY()-$L211)</f>
        <v/>
      </c>
      <c r="Y211" s="25" t="str">
        <f aca="false">IF($M211&lt;&gt;"Active","",INDEX(Lists!$C$4:$C$14,MATCH($K211,Lists!$A$4:$A$14,0)))</f>
        <v/>
      </c>
      <c r="Z211" s="25" t="str">
        <f aca="false">IF($B211="","",IF($M211&lt;&gt;"Active","Closed",IF($X211="","",IF($X211&gt;$Y211,"BREACH","On Track"))))</f>
        <v/>
      </c>
      <c r="AA211" s="25" t="str">
        <f aca="false">IF($K211="","",IFERROR(INDEX(Lists!$E$4:$E$14,MATCH($K211,Lists!$A$4:$A$14,0)),""))</f>
        <v/>
      </c>
      <c r="AB211" s="27" t="str">
        <f aca="false">IF($U211&lt;&gt;"",$U211,IF(OR($T211="",$M211&lt;&gt;"Active"),"",$T211+N($R211)))</f>
        <v/>
      </c>
      <c r="AC211" s="25" t="str">
        <f aca="false">IF(OR($T211="",$J211=""),"",$T211-$J211)</f>
        <v/>
      </c>
      <c r="AD211" s="25" t="str">
        <f aca="false">IF(AND($K211="Joined",$U211&lt;&gt;"",$J211&lt;&gt;""),$U211-$J211,"")</f>
        <v/>
      </c>
      <c r="AE211" s="25" t="str">
        <f aca="false">IF($K211="","",IF(OR($K211="Rejected",$K211="Withdrawn"),IFERROR(INDEX(Lists!$B$4:$B$14,MATCH($N211,Lists!$A$4:$A$14,0)),1),IFERROR(INDEX(Lists!$B$4:$B$14,MATCH($K211,Lists!$A$4:$A$14,0)),0)))</f>
        <v/>
      </c>
    </row>
    <row r="212" customFormat="false" ht="15" hidden="false" customHeight="false" outlineLevel="0" collapsed="false">
      <c r="A212" s="25" t="str">
        <f aca="false">IF($B212="","","C-"&amp;TEXT(ROW()-1,"0000"))</f>
        <v/>
      </c>
      <c r="B212" s="21"/>
      <c r="C212" s="21"/>
      <c r="D212" s="21"/>
      <c r="E212" s="21"/>
      <c r="F212" s="25" t="str">
        <f aca="false">IF($E212="","",IFERROR(INDEX(Requisitions!$B$2:$B$101,MATCH($E212,Requisitions!$A$2:$A$101,0)),"Unknown Req"))</f>
        <v/>
      </c>
      <c r="G212" s="25" t="str">
        <f aca="false">IF($E212="","",IFERROR(INDEX(Requisitions!$D$2:$D$101,MATCH($E212,Requisitions!$A$2:$A$101,0)),""))</f>
        <v/>
      </c>
      <c r="H212" s="21"/>
      <c r="I212" s="21"/>
      <c r="J212" s="22"/>
      <c r="K212" s="21"/>
      <c r="L212" s="22"/>
      <c r="M212" s="25" t="str">
        <f aca="false">IF($K212="","",IFERROR(INDEX(Lists!$D$4:$D$14,MATCH($K212,Lists!$A$4:$A$14,0)),"Check stage"))</f>
        <v/>
      </c>
      <c r="N212" s="21"/>
      <c r="O212" s="21"/>
      <c r="P212" s="26"/>
      <c r="Q212" s="26"/>
      <c r="R212" s="21"/>
      <c r="S212" s="21"/>
      <c r="T212" s="22"/>
      <c r="U212" s="22"/>
      <c r="V212" s="24" t="str">
        <f aca="false">IF(OR(N($P212)=0,$Q212=""),"",$Q212/$P212-1)</f>
        <v/>
      </c>
      <c r="W212" s="25" t="str">
        <f aca="true">IF($J212="","",IF($M212="Active",TODAY(),IF($U212&lt;&gt;"",$U212,IF($L212&lt;&gt;"",$L212,TODAY())))-$J212)</f>
        <v/>
      </c>
      <c r="X212" s="25" t="str">
        <f aca="true">IF(OR($L212="",$M212&lt;&gt;"Active"),"",TODAY()-$L212)</f>
        <v/>
      </c>
      <c r="Y212" s="25" t="str">
        <f aca="false">IF($M212&lt;&gt;"Active","",INDEX(Lists!$C$4:$C$14,MATCH($K212,Lists!$A$4:$A$14,0)))</f>
        <v/>
      </c>
      <c r="Z212" s="25" t="str">
        <f aca="false">IF($B212="","",IF($M212&lt;&gt;"Active","Closed",IF($X212="","",IF($X212&gt;$Y212,"BREACH","On Track"))))</f>
        <v/>
      </c>
      <c r="AA212" s="25" t="str">
        <f aca="false">IF($K212="","",IFERROR(INDEX(Lists!$E$4:$E$14,MATCH($K212,Lists!$A$4:$A$14,0)),""))</f>
        <v/>
      </c>
      <c r="AB212" s="27" t="str">
        <f aca="false">IF($U212&lt;&gt;"",$U212,IF(OR($T212="",$M212&lt;&gt;"Active"),"",$T212+N($R212)))</f>
        <v/>
      </c>
      <c r="AC212" s="25" t="str">
        <f aca="false">IF(OR($T212="",$J212=""),"",$T212-$J212)</f>
        <v/>
      </c>
      <c r="AD212" s="25" t="str">
        <f aca="false">IF(AND($K212="Joined",$U212&lt;&gt;"",$J212&lt;&gt;""),$U212-$J212,"")</f>
        <v/>
      </c>
      <c r="AE212" s="25" t="str">
        <f aca="false">IF($K212="","",IF(OR($K212="Rejected",$K212="Withdrawn"),IFERROR(INDEX(Lists!$B$4:$B$14,MATCH($N212,Lists!$A$4:$A$14,0)),1),IFERROR(INDEX(Lists!$B$4:$B$14,MATCH($K212,Lists!$A$4:$A$14,0)),0)))</f>
        <v/>
      </c>
    </row>
    <row r="213" customFormat="false" ht="15" hidden="false" customHeight="false" outlineLevel="0" collapsed="false">
      <c r="A213" s="25" t="str">
        <f aca="false">IF($B213="","","C-"&amp;TEXT(ROW()-1,"0000"))</f>
        <v/>
      </c>
      <c r="B213" s="21"/>
      <c r="C213" s="21"/>
      <c r="D213" s="21"/>
      <c r="E213" s="21"/>
      <c r="F213" s="25" t="str">
        <f aca="false">IF($E213="","",IFERROR(INDEX(Requisitions!$B$2:$B$101,MATCH($E213,Requisitions!$A$2:$A$101,0)),"Unknown Req"))</f>
        <v/>
      </c>
      <c r="G213" s="25" t="str">
        <f aca="false">IF($E213="","",IFERROR(INDEX(Requisitions!$D$2:$D$101,MATCH($E213,Requisitions!$A$2:$A$101,0)),""))</f>
        <v/>
      </c>
      <c r="H213" s="21"/>
      <c r="I213" s="21"/>
      <c r="J213" s="22"/>
      <c r="K213" s="21"/>
      <c r="L213" s="22"/>
      <c r="M213" s="25" t="str">
        <f aca="false">IF($K213="","",IFERROR(INDEX(Lists!$D$4:$D$14,MATCH($K213,Lists!$A$4:$A$14,0)),"Check stage"))</f>
        <v/>
      </c>
      <c r="N213" s="21"/>
      <c r="O213" s="21"/>
      <c r="P213" s="26"/>
      <c r="Q213" s="26"/>
      <c r="R213" s="21"/>
      <c r="S213" s="21"/>
      <c r="T213" s="22"/>
      <c r="U213" s="22"/>
      <c r="V213" s="24" t="str">
        <f aca="false">IF(OR(N($P213)=0,$Q213=""),"",$Q213/$P213-1)</f>
        <v/>
      </c>
      <c r="W213" s="25" t="str">
        <f aca="true">IF($J213="","",IF($M213="Active",TODAY(),IF($U213&lt;&gt;"",$U213,IF($L213&lt;&gt;"",$L213,TODAY())))-$J213)</f>
        <v/>
      </c>
      <c r="X213" s="25" t="str">
        <f aca="true">IF(OR($L213="",$M213&lt;&gt;"Active"),"",TODAY()-$L213)</f>
        <v/>
      </c>
      <c r="Y213" s="25" t="str">
        <f aca="false">IF($M213&lt;&gt;"Active","",INDEX(Lists!$C$4:$C$14,MATCH($K213,Lists!$A$4:$A$14,0)))</f>
        <v/>
      </c>
      <c r="Z213" s="25" t="str">
        <f aca="false">IF($B213="","",IF($M213&lt;&gt;"Active","Closed",IF($X213="","",IF($X213&gt;$Y213,"BREACH","On Track"))))</f>
        <v/>
      </c>
      <c r="AA213" s="25" t="str">
        <f aca="false">IF($K213="","",IFERROR(INDEX(Lists!$E$4:$E$14,MATCH($K213,Lists!$A$4:$A$14,0)),""))</f>
        <v/>
      </c>
      <c r="AB213" s="27" t="str">
        <f aca="false">IF($U213&lt;&gt;"",$U213,IF(OR($T213="",$M213&lt;&gt;"Active"),"",$T213+N($R213)))</f>
        <v/>
      </c>
      <c r="AC213" s="25" t="str">
        <f aca="false">IF(OR($T213="",$J213=""),"",$T213-$J213)</f>
        <v/>
      </c>
      <c r="AD213" s="25" t="str">
        <f aca="false">IF(AND($K213="Joined",$U213&lt;&gt;"",$J213&lt;&gt;""),$U213-$J213,"")</f>
        <v/>
      </c>
      <c r="AE213" s="25" t="str">
        <f aca="false">IF($K213="","",IF(OR($K213="Rejected",$K213="Withdrawn"),IFERROR(INDEX(Lists!$B$4:$B$14,MATCH($N213,Lists!$A$4:$A$14,0)),1),IFERROR(INDEX(Lists!$B$4:$B$14,MATCH($K213,Lists!$A$4:$A$14,0)),0)))</f>
        <v/>
      </c>
    </row>
    <row r="214" customFormat="false" ht="15" hidden="false" customHeight="false" outlineLevel="0" collapsed="false">
      <c r="A214" s="25" t="str">
        <f aca="false">IF($B214="","","C-"&amp;TEXT(ROW()-1,"0000"))</f>
        <v/>
      </c>
      <c r="B214" s="21"/>
      <c r="C214" s="21"/>
      <c r="D214" s="21"/>
      <c r="E214" s="21"/>
      <c r="F214" s="25" t="str">
        <f aca="false">IF($E214="","",IFERROR(INDEX(Requisitions!$B$2:$B$101,MATCH($E214,Requisitions!$A$2:$A$101,0)),"Unknown Req"))</f>
        <v/>
      </c>
      <c r="G214" s="25" t="str">
        <f aca="false">IF($E214="","",IFERROR(INDEX(Requisitions!$D$2:$D$101,MATCH($E214,Requisitions!$A$2:$A$101,0)),""))</f>
        <v/>
      </c>
      <c r="H214" s="21"/>
      <c r="I214" s="21"/>
      <c r="J214" s="22"/>
      <c r="K214" s="21"/>
      <c r="L214" s="22"/>
      <c r="M214" s="25" t="str">
        <f aca="false">IF($K214="","",IFERROR(INDEX(Lists!$D$4:$D$14,MATCH($K214,Lists!$A$4:$A$14,0)),"Check stage"))</f>
        <v/>
      </c>
      <c r="N214" s="21"/>
      <c r="O214" s="21"/>
      <c r="P214" s="26"/>
      <c r="Q214" s="26"/>
      <c r="R214" s="21"/>
      <c r="S214" s="21"/>
      <c r="T214" s="22"/>
      <c r="U214" s="22"/>
      <c r="V214" s="24" t="str">
        <f aca="false">IF(OR(N($P214)=0,$Q214=""),"",$Q214/$P214-1)</f>
        <v/>
      </c>
      <c r="W214" s="25" t="str">
        <f aca="true">IF($J214="","",IF($M214="Active",TODAY(),IF($U214&lt;&gt;"",$U214,IF($L214&lt;&gt;"",$L214,TODAY())))-$J214)</f>
        <v/>
      </c>
      <c r="X214" s="25" t="str">
        <f aca="true">IF(OR($L214="",$M214&lt;&gt;"Active"),"",TODAY()-$L214)</f>
        <v/>
      </c>
      <c r="Y214" s="25" t="str">
        <f aca="false">IF($M214&lt;&gt;"Active","",INDEX(Lists!$C$4:$C$14,MATCH($K214,Lists!$A$4:$A$14,0)))</f>
        <v/>
      </c>
      <c r="Z214" s="25" t="str">
        <f aca="false">IF($B214="","",IF($M214&lt;&gt;"Active","Closed",IF($X214="","",IF($X214&gt;$Y214,"BREACH","On Track"))))</f>
        <v/>
      </c>
      <c r="AA214" s="25" t="str">
        <f aca="false">IF($K214="","",IFERROR(INDEX(Lists!$E$4:$E$14,MATCH($K214,Lists!$A$4:$A$14,0)),""))</f>
        <v/>
      </c>
      <c r="AB214" s="27" t="str">
        <f aca="false">IF($U214&lt;&gt;"",$U214,IF(OR($T214="",$M214&lt;&gt;"Active"),"",$T214+N($R214)))</f>
        <v/>
      </c>
      <c r="AC214" s="25" t="str">
        <f aca="false">IF(OR($T214="",$J214=""),"",$T214-$J214)</f>
        <v/>
      </c>
      <c r="AD214" s="25" t="str">
        <f aca="false">IF(AND($K214="Joined",$U214&lt;&gt;"",$J214&lt;&gt;""),$U214-$J214,"")</f>
        <v/>
      </c>
      <c r="AE214" s="25" t="str">
        <f aca="false">IF($K214="","",IF(OR($K214="Rejected",$K214="Withdrawn"),IFERROR(INDEX(Lists!$B$4:$B$14,MATCH($N214,Lists!$A$4:$A$14,0)),1),IFERROR(INDEX(Lists!$B$4:$B$14,MATCH($K214,Lists!$A$4:$A$14,0)),0)))</f>
        <v/>
      </c>
    </row>
    <row r="215" customFormat="false" ht="15" hidden="false" customHeight="false" outlineLevel="0" collapsed="false">
      <c r="A215" s="25" t="str">
        <f aca="false">IF($B215="","","C-"&amp;TEXT(ROW()-1,"0000"))</f>
        <v/>
      </c>
      <c r="B215" s="21"/>
      <c r="C215" s="21"/>
      <c r="D215" s="21"/>
      <c r="E215" s="21"/>
      <c r="F215" s="25" t="str">
        <f aca="false">IF($E215="","",IFERROR(INDEX(Requisitions!$B$2:$B$101,MATCH($E215,Requisitions!$A$2:$A$101,0)),"Unknown Req"))</f>
        <v/>
      </c>
      <c r="G215" s="25" t="str">
        <f aca="false">IF($E215="","",IFERROR(INDEX(Requisitions!$D$2:$D$101,MATCH($E215,Requisitions!$A$2:$A$101,0)),""))</f>
        <v/>
      </c>
      <c r="H215" s="21"/>
      <c r="I215" s="21"/>
      <c r="J215" s="22"/>
      <c r="K215" s="21"/>
      <c r="L215" s="22"/>
      <c r="M215" s="25" t="str">
        <f aca="false">IF($K215="","",IFERROR(INDEX(Lists!$D$4:$D$14,MATCH($K215,Lists!$A$4:$A$14,0)),"Check stage"))</f>
        <v/>
      </c>
      <c r="N215" s="21"/>
      <c r="O215" s="21"/>
      <c r="P215" s="26"/>
      <c r="Q215" s="26"/>
      <c r="R215" s="21"/>
      <c r="S215" s="21"/>
      <c r="T215" s="22"/>
      <c r="U215" s="22"/>
      <c r="V215" s="24" t="str">
        <f aca="false">IF(OR(N($P215)=0,$Q215=""),"",$Q215/$P215-1)</f>
        <v/>
      </c>
      <c r="W215" s="25" t="str">
        <f aca="true">IF($J215="","",IF($M215="Active",TODAY(),IF($U215&lt;&gt;"",$U215,IF($L215&lt;&gt;"",$L215,TODAY())))-$J215)</f>
        <v/>
      </c>
      <c r="X215" s="25" t="str">
        <f aca="true">IF(OR($L215="",$M215&lt;&gt;"Active"),"",TODAY()-$L215)</f>
        <v/>
      </c>
      <c r="Y215" s="25" t="str">
        <f aca="false">IF($M215&lt;&gt;"Active","",INDEX(Lists!$C$4:$C$14,MATCH($K215,Lists!$A$4:$A$14,0)))</f>
        <v/>
      </c>
      <c r="Z215" s="25" t="str">
        <f aca="false">IF($B215="","",IF($M215&lt;&gt;"Active","Closed",IF($X215="","",IF($X215&gt;$Y215,"BREACH","On Track"))))</f>
        <v/>
      </c>
      <c r="AA215" s="25" t="str">
        <f aca="false">IF($K215="","",IFERROR(INDEX(Lists!$E$4:$E$14,MATCH($K215,Lists!$A$4:$A$14,0)),""))</f>
        <v/>
      </c>
      <c r="AB215" s="27" t="str">
        <f aca="false">IF($U215&lt;&gt;"",$U215,IF(OR($T215="",$M215&lt;&gt;"Active"),"",$T215+N($R215)))</f>
        <v/>
      </c>
      <c r="AC215" s="25" t="str">
        <f aca="false">IF(OR($T215="",$J215=""),"",$T215-$J215)</f>
        <v/>
      </c>
      <c r="AD215" s="25" t="str">
        <f aca="false">IF(AND($K215="Joined",$U215&lt;&gt;"",$J215&lt;&gt;""),$U215-$J215,"")</f>
        <v/>
      </c>
      <c r="AE215" s="25" t="str">
        <f aca="false">IF($K215="","",IF(OR($K215="Rejected",$K215="Withdrawn"),IFERROR(INDEX(Lists!$B$4:$B$14,MATCH($N215,Lists!$A$4:$A$14,0)),1),IFERROR(INDEX(Lists!$B$4:$B$14,MATCH($K215,Lists!$A$4:$A$14,0)),0)))</f>
        <v/>
      </c>
    </row>
    <row r="216" customFormat="false" ht="15" hidden="false" customHeight="false" outlineLevel="0" collapsed="false">
      <c r="A216" s="25" t="str">
        <f aca="false">IF($B216="","","C-"&amp;TEXT(ROW()-1,"0000"))</f>
        <v/>
      </c>
      <c r="B216" s="21"/>
      <c r="C216" s="21"/>
      <c r="D216" s="21"/>
      <c r="E216" s="21"/>
      <c r="F216" s="25" t="str">
        <f aca="false">IF($E216="","",IFERROR(INDEX(Requisitions!$B$2:$B$101,MATCH($E216,Requisitions!$A$2:$A$101,0)),"Unknown Req"))</f>
        <v/>
      </c>
      <c r="G216" s="25" t="str">
        <f aca="false">IF($E216="","",IFERROR(INDEX(Requisitions!$D$2:$D$101,MATCH($E216,Requisitions!$A$2:$A$101,0)),""))</f>
        <v/>
      </c>
      <c r="H216" s="21"/>
      <c r="I216" s="21"/>
      <c r="J216" s="22"/>
      <c r="K216" s="21"/>
      <c r="L216" s="22"/>
      <c r="M216" s="25" t="str">
        <f aca="false">IF($K216="","",IFERROR(INDEX(Lists!$D$4:$D$14,MATCH($K216,Lists!$A$4:$A$14,0)),"Check stage"))</f>
        <v/>
      </c>
      <c r="N216" s="21"/>
      <c r="O216" s="21"/>
      <c r="P216" s="26"/>
      <c r="Q216" s="26"/>
      <c r="R216" s="21"/>
      <c r="S216" s="21"/>
      <c r="T216" s="22"/>
      <c r="U216" s="22"/>
      <c r="V216" s="24" t="str">
        <f aca="false">IF(OR(N($P216)=0,$Q216=""),"",$Q216/$P216-1)</f>
        <v/>
      </c>
      <c r="W216" s="25" t="str">
        <f aca="true">IF($J216="","",IF($M216="Active",TODAY(),IF($U216&lt;&gt;"",$U216,IF($L216&lt;&gt;"",$L216,TODAY())))-$J216)</f>
        <v/>
      </c>
      <c r="X216" s="25" t="str">
        <f aca="true">IF(OR($L216="",$M216&lt;&gt;"Active"),"",TODAY()-$L216)</f>
        <v/>
      </c>
      <c r="Y216" s="25" t="str">
        <f aca="false">IF($M216&lt;&gt;"Active","",INDEX(Lists!$C$4:$C$14,MATCH($K216,Lists!$A$4:$A$14,0)))</f>
        <v/>
      </c>
      <c r="Z216" s="25" t="str">
        <f aca="false">IF($B216="","",IF($M216&lt;&gt;"Active","Closed",IF($X216="","",IF($X216&gt;$Y216,"BREACH","On Track"))))</f>
        <v/>
      </c>
      <c r="AA216" s="25" t="str">
        <f aca="false">IF($K216="","",IFERROR(INDEX(Lists!$E$4:$E$14,MATCH($K216,Lists!$A$4:$A$14,0)),""))</f>
        <v/>
      </c>
      <c r="AB216" s="27" t="str">
        <f aca="false">IF($U216&lt;&gt;"",$U216,IF(OR($T216="",$M216&lt;&gt;"Active"),"",$T216+N($R216)))</f>
        <v/>
      </c>
      <c r="AC216" s="25" t="str">
        <f aca="false">IF(OR($T216="",$J216=""),"",$T216-$J216)</f>
        <v/>
      </c>
      <c r="AD216" s="25" t="str">
        <f aca="false">IF(AND($K216="Joined",$U216&lt;&gt;"",$J216&lt;&gt;""),$U216-$J216,"")</f>
        <v/>
      </c>
      <c r="AE216" s="25" t="str">
        <f aca="false">IF($K216="","",IF(OR($K216="Rejected",$K216="Withdrawn"),IFERROR(INDEX(Lists!$B$4:$B$14,MATCH($N216,Lists!$A$4:$A$14,0)),1),IFERROR(INDEX(Lists!$B$4:$B$14,MATCH($K216,Lists!$A$4:$A$14,0)),0)))</f>
        <v/>
      </c>
    </row>
    <row r="217" customFormat="false" ht="15" hidden="false" customHeight="false" outlineLevel="0" collapsed="false">
      <c r="A217" s="25" t="str">
        <f aca="false">IF($B217="","","C-"&amp;TEXT(ROW()-1,"0000"))</f>
        <v/>
      </c>
      <c r="B217" s="21"/>
      <c r="C217" s="21"/>
      <c r="D217" s="21"/>
      <c r="E217" s="21"/>
      <c r="F217" s="25" t="str">
        <f aca="false">IF($E217="","",IFERROR(INDEX(Requisitions!$B$2:$B$101,MATCH($E217,Requisitions!$A$2:$A$101,0)),"Unknown Req"))</f>
        <v/>
      </c>
      <c r="G217" s="25" t="str">
        <f aca="false">IF($E217="","",IFERROR(INDEX(Requisitions!$D$2:$D$101,MATCH($E217,Requisitions!$A$2:$A$101,0)),""))</f>
        <v/>
      </c>
      <c r="H217" s="21"/>
      <c r="I217" s="21"/>
      <c r="J217" s="22"/>
      <c r="K217" s="21"/>
      <c r="L217" s="22"/>
      <c r="M217" s="25" t="str">
        <f aca="false">IF($K217="","",IFERROR(INDEX(Lists!$D$4:$D$14,MATCH($K217,Lists!$A$4:$A$14,0)),"Check stage"))</f>
        <v/>
      </c>
      <c r="N217" s="21"/>
      <c r="O217" s="21"/>
      <c r="P217" s="26"/>
      <c r="Q217" s="26"/>
      <c r="R217" s="21"/>
      <c r="S217" s="21"/>
      <c r="T217" s="22"/>
      <c r="U217" s="22"/>
      <c r="V217" s="24" t="str">
        <f aca="false">IF(OR(N($P217)=0,$Q217=""),"",$Q217/$P217-1)</f>
        <v/>
      </c>
      <c r="W217" s="25" t="str">
        <f aca="true">IF($J217="","",IF($M217="Active",TODAY(),IF($U217&lt;&gt;"",$U217,IF($L217&lt;&gt;"",$L217,TODAY())))-$J217)</f>
        <v/>
      </c>
      <c r="X217" s="25" t="str">
        <f aca="true">IF(OR($L217="",$M217&lt;&gt;"Active"),"",TODAY()-$L217)</f>
        <v/>
      </c>
      <c r="Y217" s="25" t="str">
        <f aca="false">IF($M217&lt;&gt;"Active","",INDEX(Lists!$C$4:$C$14,MATCH($K217,Lists!$A$4:$A$14,0)))</f>
        <v/>
      </c>
      <c r="Z217" s="25" t="str">
        <f aca="false">IF($B217="","",IF($M217&lt;&gt;"Active","Closed",IF($X217="","",IF($X217&gt;$Y217,"BREACH","On Track"))))</f>
        <v/>
      </c>
      <c r="AA217" s="25" t="str">
        <f aca="false">IF($K217="","",IFERROR(INDEX(Lists!$E$4:$E$14,MATCH($K217,Lists!$A$4:$A$14,0)),""))</f>
        <v/>
      </c>
      <c r="AB217" s="27" t="str">
        <f aca="false">IF($U217&lt;&gt;"",$U217,IF(OR($T217="",$M217&lt;&gt;"Active"),"",$T217+N($R217)))</f>
        <v/>
      </c>
      <c r="AC217" s="25" t="str">
        <f aca="false">IF(OR($T217="",$J217=""),"",$T217-$J217)</f>
        <v/>
      </c>
      <c r="AD217" s="25" t="str">
        <f aca="false">IF(AND($K217="Joined",$U217&lt;&gt;"",$J217&lt;&gt;""),$U217-$J217,"")</f>
        <v/>
      </c>
      <c r="AE217" s="25" t="str">
        <f aca="false">IF($K217="","",IF(OR($K217="Rejected",$K217="Withdrawn"),IFERROR(INDEX(Lists!$B$4:$B$14,MATCH($N217,Lists!$A$4:$A$14,0)),1),IFERROR(INDEX(Lists!$B$4:$B$14,MATCH($K217,Lists!$A$4:$A$14,0)),0)))</f>
        <v/>
      </c>
    </row>
    <row r="218" customFormat="false" ht="15" hidden="false" customHeight="false" outlineLevel="0" collapsed="false">
      <c r="A218" s="25" t="str">
        <f aca="false">IF($B218="","","C-"&amp;TEXT(ROW()-1,"0000"))</f>
        <v/>
      </c>
      <c r="B218" s="21"/>
      <c r="C218" s="21"/>
      <c r="D218" s="21"/>
      <c r="E218" s="21"/>
      <c r="F218" s="25" t="str">
        <f aca="false">IF($E218="","",IFERROR(INDEX(Requisitions!$B$2:$B$101,MATCH($E218,Requisitions!$A$2:$A$101,0)),"Unknown Req"))</f>
        <v/>
      </c>
      <c r="G218" s="25" t="str">
        <f aca="false">IF($E218="","",IFERROR(INDEX(Requisitions!$D$2:$D$101,MATCH($E218,Requisitions!$A$2:$A$101,0)),""))</f>
        <v/>
      </c>
      <c r="H218" s="21"/>
      <c r="I218" s="21"/>
      <c r="J218" s="22"/>
      <c r="K218" s="21"/>
      <c r="L218" s="22"/>
      <c r="M218" s="25" t="str">
        <f aca="false">IF($K218="","",IFERROR(INDEX(Lists!$D$4:$D$14,MATCH($K218,Lists!$A$4:$A$14,0)),"Check stage"))</f>
        <v/>
      </c>
      <c r="N218" s="21"/>
      <c r="O218" s="21"/>
      <c r="P218" s="26"/>
      <c r="Q218" s="26"/>
      <c r="R218" s="21"/>
      <c r="S218" s="21"/>
      <c r="T218" s="22"/>
      <c r="U218" s="22"/>
      <c r="V218" s="24" t="str">
        <f aca="false">IF(OR(N($P218)=0,$Q218=""),"",$Q218/$P218-1)</f>
        <v/>
      </c>
      <c r="W218" s="25" t="str">
        <f aca="true">IF($J218="","",IF($M218="Active",TODAY(),IF($U218&lt;&gt;"",$U218,IF($L218&lt;&gt;"",$L218,TODAY())))-$J218)</f>
        <v/>
      </c>
      <c r="X218" s="25" t="str">
        <f aca="true">IF(OR($L218="",$M218&lt;&gt;"Active"),"",TODAY()-$L218)</f>
        <v/>
      </c>
      <c r="Y218" s="25" t="str">
        <f aca="false">IF($M218&lt;&gt;"Active","",INDEX(Lists!$C$4:$C$14,MATCH($K218,Lists!$A$4:$A$14,0)))</f>
        <v/>
      </c>
      <c r="Z218" s="25" t="str">
        <f aca="false">IF($B218="","",IF($M218&lt;&gt;"Active","Closed",IF($X218="","",IF($X218&gt;$Y218,"BREACH","On Track"))))</f>
        <v/>
      </c>
      <c r="AA218" s="25" t="str">
        <f aca="false">IF($K218="","",IFERROR(INDEX(Lists!$E$4:$E$14,MATCH($K218,Lists!$A$4:$A$14,0)),""))</f>
        <v/>
      </c>
      <c r="AB218" s="27" t="str">
        <f aca="false">IF($U218&lt;&gt;"",$U218,IF(OR($T218="",$M218&lt;&gt;"Active"),"",$T218+N($R218)))</f>
        <v/>
      </c>
      <c r="AC218" s="25" t="str">
        <f aca="false">IF(OR($T218="",$J218=""),"",$T218-$J218)</f>
        <v/>
      </c>
      <c r="AD218" s="25" t="str">
        <f aca="false">IF(AND($K218="Joined",$U218&lt;&gt;"",$J218&lt;&gt;""),$U218-$J218,"")</f>
        <v/>
      </c>
      <c r="AE218" s="25" t="str">
        <f aca="false">IF($K218="","",IF(OR($K218="Rejected",$K218="Withdrawn"),IFERROR(INDEX(Lists!$B$4:$B$14,MATCH($N218,Lists!$A$4:$A$14,0)),1),IFERROR(INDEX(Lists!$B$4:$B$14,MATCH($K218,Lists!$A$4:$A$14,0)),0)))</f>
        <v/>
      </c>
    </row>
    <row r="219" customFormat="false" ht="15" hidden="false" customHeight="false" outlineLevel="0" collapsed="false">
      <c r="A219" s="25" t="str">
        <f aca="false">IF($B219="","","C-"&amp;TEXT(ROW()-1,"0000"))</f>
        <v/>
      </c>
      <c r="B219" s="21"/>
      <c r="C219" s="21"/>
      <c r="D219" s="21"/>
      <c r="E219" s="21"/>
      <c r="F219" s="25" t="str">
        <f aca="false">IF($E219="","",IFERROR(INDEX(Requisitions!$B$2:$B$101,MATCH($E219,Requisitions!$A$2:$A$101,0)),"Unknown Req"))</f>
        <v/>
      </c>
      <c r="G219" s="25" t="str">
        <f aca="false">IF($E219="","",IFERROR(INDEX(Requisitions!$D$2:$D$101,MATCH($E219,Requisitions!$A$2:$A$101,0)),""))</f>
        <v/>
      </c>
      <c r="H219" s="21"/>
      <c r="I219" s="21"/>
      <c r="J219" s="22"/>
      <c r="K219" s="21"/>
      <c r="L219" s="22"/>
      <c r="M219" s="25" t="str">
        <f aca="false">IF($K219="","",IFERROR(INDEX(Lists!$D$4:$D$14,MATCH($K219,Lists!$A$4:$A$14,0)),"Check stage"))</f>
        <v/>
      </c>
      <c r="N219" s="21"/>
      <c r="O219" s="21"/>
      <c r="P219" s="26"/>
      <c r="Q219" s="26"/>
      <c r="R219" s="21"/>
      <c r="S219" s="21"/>
      <c r="T219" s="22"/>
      <c r="U219" s="22"/>
      <c r="V219" s="24" t="str">
        <f aca="false">IF(OR(N($P219)=0,$Q219=""),"",$Q219/$P219-1)</f>
        <v/>
      </c>
      <c r="W219" s="25" t="str">
        <f aca="true">IF($J219="","",IF($M219="Active",TODAY(),IF($U219&lt;&gt;"",$U219,IF($L219&lt;&gt;"",$L219,TODAY())))-$J219)</f>
        <v/>
      </c>
      <c r="X219" s="25" t="str">
        <f aca="true">IF(OR($L219="",$M219&lt;&gt;"Active"),"",TODAY()-$L219)</f>
        <v/>
      </c>
      <c r="Y219" s="25" t="str">
        <f aca="false">IF($M219&lt;&gt;"Active","",INDEX(Lists!$C$4:$C$14,MATCH($K219,Lists!$A$4:$A$14,0)))</f>
        <v/>
      </c>
      <c r="Z219" s="25" t="str">
        <f aca="false">IF($B219="","",IF($M219&lt;&gt;"Active","Closed",IF($X219="","",IF($X219&gt;$Y219,"BREACH","On Track"))))</f>
        <v/>
      </c>
      <c r="AA219" s="25" t="str">
        <f aca="false">IF($K219="","",IFERROR(INDEX(Lists!$E$4:$E$14,MATCH($K219,Lists!$A$4:$A$14,0)),""))</f>
        <v/>
      </c>
      <c r="AB219" s="27" t="str">
        <f aca="false">IF($U219&lt;&gt;"",$U219,IF(OR($T219="",$M219&lt;&gt;"Active"),"",$T219+N($R219)))</f>
        <v/>
      </c>
      <c r="AC219" s="25" t="str">
        <f aca="false">IF(OR($T219="",$J219=""),"",$T219-$J219)</f>
        <v/>
      </c>
      <c r="AD219" s="25" t="str">
        <f aca="false">IF(AND($K219="Joined",$U219&lt;&gt;"",$J219&lt;&gt;""),$U219-$J219,"")</f>
        <v/>
      </c>
      <c r="AE219" s="25" t="str">
        <f aca="false">IF($K219="","",IF(OR($K219="Rejected",$K219="Withdrawn"),IFERROR(INDEX(Lists!$B$4:$B$14,MATCH($N219,Lists!$A$4:$A$14,0)),1),IFERROR(INDEX(Lists!$B$4:$B$14,MATCH($K219,Lists!$A$4:$A$14,0)),0)))</f>
        <v/>
      </c>
    </row>
    <row r="220" customFormat="false" ht="15" hidden="false" customHeight="false" outlineLevel="0" collapsed="false">
      <c r="A220" s="25" t="str">
        <f aca="false">IF($B220="","","C-"&amp;TEXT(ROW()-1,"0000"))</f>
        <v/>
      </c>
      <c r="B220" s="21"/>
      <c r="C220" s="21"/>
      <c r="D220" s="21"/>
      <c r="E220" s="21"/>
      <c r="F220" s="25" t="str">
        <f aca="false">IF($E220="","",IFERROR(INDEX(Requisitions!$B$2:$B$101,MATCH($E220,Requisitions!$A$2:$A$101,0)),"Unknown Req"))</f>
        <v/>
      </c>
      <c r="G220" s="25" t="str">
        <f aca="false">IF($E220="","",IFERROR(INDEX(Requisitions!$D$2:$D$101,MATCH($E220,Requisitions!$A$2:$A$101,0)),""))</f>
        <v/>
      </c>
      <c r="H220" s="21"/>
      <c r="I220" s="21"/>
      <c r="J220" s="22"/>
      <c r="K220" s="21"/>
      <c r="L220" s="22"/>
      <c r="M220" s="25" t="str">
        <f aca="false">IF($K220="","",IFERROR(INDEX(Lists!$D$4:$D$14,MATCH($K220,Lists!$A$4:$A$14,0)),"Check stage"))</f>
        <v/>
      </c>
      <c r="N220" s="21"/>
      <c r="O220" s="21"/>
      <c r="P220" s="26"/>
      <c r="Q220" s="26"/>
      <c r="R220" s="21"/>
      <c r="S220" s="21"/>
      <c r="T220" s="22"/>
      <c r="U220" s="22"/>
      <c r="V220" s="24" t="str">
        <f aca="false">IF(OR(N($P220)=0,$Q220=""),"",$Q220/$P220-1)</f>
        <v/>
      </c>
      <c r="W220" s="25" t="str">
        <f aca="true">IF($J220="","",IF($M220="Active",TODAY(),IF($U220&lt;&gt;"",$U220,IF($L220&lt;&gt;"",$L220,TODAY())))-$J220)</f>
        <v/>
      </c>
      <c r="X220" s="25" t="str">
        <f aca="true">IF(OR($L220="",$M220&lt;&gt;"Active"),"",TODAY()-$L220)</f>
        <v/>
      </c>
      <c r="Y220" s="25" t="str">
        <f aca="false">IF($M220&lt;&gt;"Active","",INDEX(Lists!$C$4:$C$14,MATCH($K220,Lists!$A$4:$A$14,0)))</f>
        <v/>
      </c>
      <c r="Z220" s="25" t="str">
        <f aca="false">IF($B220="","",IF($M220&lt;&gt;"Active","Closed",IF($X220="","",IF($X220&gt;$Y220,"BREACH","On Track"))))</f>
        <v/>
      </c>
      <c r="AA220" s="25" t="str">
        <f aca="false">IF($K220="","",IFERROR(INDEX(Lists!$E$4:$E$14,MATCH($K220,Lists!$A$4:$A$14,0)),""))</f>
        <v/>
      </c>
      <c r="AB220" s="27" t="str">
        <f aca="false">IF($U220&lt;&gt;"",$U220,IF(OR($T220="",$M220&lt;&gt;"Active"),"",$T220+N($R220)))</f>
        <v/>
      </c>
      <c r="AC220" s="25" t="str">
        <f aca="false">IF(OR($T220="",$J220=""),"",$T220-$J220)</f>
        <v/>
      </c>
      <c r="AD220" s="25" t="str">
        <f aca="false">IF(AND($K220="Joined",$U220&lt;&gt;"",$J220&lt;&gt;""),$U220-$J220,"")</f>
        <v/>
      </c>
      <c r="AE220" s="25" t="str">
        <f aca="false">IF($K220="","",IF(OR($K220="Rejected",$K220="Withdrawn"),IFERROR(INDEX(Lists!$B$4:$B$14,MATCH($N220,Lists!$A$4:$A$14,0)),1),IFERROR(INDEX(Lists!$B$4:$B$14,MATCH($K220,Lists!$A$4:$A$14,0)),0)))</f>
        <v/>
      </c>
    </row>
    <row r="221" customFormat="false" ht="15" hidden="false" customHeight="false" outlineLevel="0" collapsed="false">
      <c r="A221" s="25" t="str">
        <f aca="false">IF($B221="","","C-"&amp;TEXT(ROW()-1,"0000"))</f>
        <v/>
      </c>
      <c r="B221" s="21"/>
      <c r="C221" s="21"/>
      <c r="D221" s="21"/>
      <c r="E221" s="21"/>
      <c r="F221" s="25" t="str">
        <f aca="false">IF($E221="","",IFERROR(INDEX(Requisitions!$B$2:$B$101,MATCH($E221,Requisitions!$A$2:$A$101,0)),"Unknown Req"))</f>
        <v/>
      </c>
      <c r="G221" s="25" t="str">
        <f aca="false">IF($E221="","",IFERROR(INDEX(Requisitions!$D$2:$D$101,MATCH($E221,Requisitions!$A$2:$A$101,0)),""))</f>
        <v/>
      </c>
      <c r="H221" s="21"/>
      <c r="I221" s="21"/>
      <c r="J221" s="22"/>
      <c r="K221" s="21"/>
      <c r="L221" s="22"/>
      <c r="M221" s="25" t="str">
        <f aca="false">IF($K221="","",IFERROR(INDEX(Lists!$D$4:$D$14,MATCH($K221,Lists!$A$4:$A$14,0)),"Check stage"))</f>
        <v/>
      </c>
      <c r="N221" s="21"/>
      <c r="O221" s="21"/>
      <c r="P221" s="26"/>
      <c r="Q221" s="26"/>
      <c r="R221" s="21"/>
      <c r="S221" s="21"/>
      <c r="T221" s="22"/>
      <c r="U221" s="22"/>
      <c r="V221" s="24" t="str">
        <f aca="false">IF(OR(N($P221)=0,$Q221=""),"",$Q221/$P221-1)</f>
        <v/>
      </c>
      <c r="W221" s="25" t="str">
        <f aca="true">IF($J221="","",IF($M221="Active",TODAY(),IF($U221&lt;&gt;"",$U221,IF($L221&lt;&gt;"",$L221,TODAY())))-$J221)</f>
        <v/>
      </c>
      <c r="X221" s="25" t="str">
        <f aca="true">IF(OR($L221="",$M221&lt;&gt;"Active"),"",TODAY()-$L221)</f>
        <v/>
      </c>
      <c r="Y221" s="25" t="str">
        <f aca="false">IF($M221&lt;&gt;"Active","",INDEX(Lists!$C$4:$C$14,MATCH($K221,Lists!$A$4:$A$14,0)))</f>
        <v/>
      </c>
      <c r="Z221" s="25" t="str">
        <f aca="false">IF($B221="","",IF($M221&lt;&gt;"Active","Closed",IF($X221="","",IF($X221&gt;$Y221,"BREACH","On Track"))))</f>
        <v/>
      </c>
      <c r="AA221" s="25" t="str">
        <f aca="false">IF($K221="","",IFERROR(INDEX(Lists!$E$4:$E$14,MATCH($K221,Lists!$A$4:$A$14,0)),""))</f>
        <v/>
      </c>
      <c r="AB221" s="27" t="str">
        <f aca="false">IF($U221&lt;&gt;"",$U221,IF(OR($T221="",$M221&lt;&gt;"Active"),"",$T221+N($R221)))</f>
        <v/>
      </c>
      <c r="AC221" s="25" t="str">
        <f aca="false">IF(OR($T221="",$J221=""),"",$T221-$J221)</f>
        <v/>
      </c>
      <c r="AD221" s="25" t="str">
        <f aca="false">IF(AND($K221="Joined",$U221&lt;&gt;"",$J221&lt;&gt;""),$U221-$J221,"")</f>
        <v/>
      </c>
      <c r="AE221" s="25" t="str">
        <f aca="false">IF($K221="","",IF(OR($K221="Rejected",$K221="Withdrawn"),IFERROR(INDEX(Lists!$B$4:$B$14,MATCH($N221,Lists!$A$4:$A$14,0)),1),IFERROR(INDEX(Lists!$B$4:$B$14,MATCH($K221,Lists!$A$4:$A$14,0)),0)))</f>
        <v/>
      </c>
    </row>
    <row r="222" customFormat="false" ht="15" hidden="false" customHeight="false" outlineLevel="0" collapsed="false">
      <c r="A222" s="25" t="str">
        <f aca="false">IF($B222="","","C-"&amp;TEXT(ROW()-1,"0000"))</f>
        <v/>
      </c>
      <c r="B222" s="21"/>
      <c r="C222" s="21"/>
      <c r="D222" s="21"/>
      <c r="E222" s="21"/>
      <c r="F222" s="25" t="str">
        <f aca="false">IF($E222="","",IFERROR(INDEX(Requisitions!$B$2:$B$101,MATCH($E222,Requisitions!$A$2:$A$101,0)),"Unknown Req"))</f>
        <v/>
      </c>
      <c r="G222" s="25" t="str">
        <f aca="false">IF($E222="","",IFERROR(INDEX(Requisitions!$D$2:$D$101,MATCH($E222,Requisitions!$A$2:$A$101,0)),""))</f>
        <v/>
      </c>
      <c r="H222" s="21"/>
      <c r="I222" s="21"/>
      <c r="J222" s="22"/>
      <c r="K222" s="21"/>
      <c r="L222" s="22"/>
      <c r="M222" s="25" t="str">
        <f aca="false">IF($K222="","",IFERROR(INDEX(Lists!$D$4:$D$14,MATCH($K222,Lists!$A$4:$A$14,0)),"Check stage"))</f>
        <v/>
      </c>
      <c r="N222" s="21"/>
      <c r="O222" s="21"/>
      <c r="P222" s="26"/>
      <c r="Q222" s="26"/>
      <c r="R222" s="21"/>
      <c r="S222" s="21"/>
      <c r="T222" s="22"/>
      <c r="U222" s="22"/>
      <c r="V222" s="24" t="str">
        <f aca="false">IF(OR(N($P222)=0,$Q222=""),"",$Q222/$P222-1)</f>
        <v/>
      </c>
      <c r="W222" s="25" t="str">
        <f aca="true">IF($J222="","",IF($M222="Active",TODAY(),IF($U222&lt;&gt;"",$U222,IF($L222&lt;&gt;"",$L222,TODAY())))-$J222)</f>
        <v/>
      </c>
      <c r="X222" s="25" t="str">
        <f aca="true">IF(OR($L222="",$M222&lt;&gt;"Active"),"",TODAY()-$L222)</f>
        <v/>
      </c>
      <c r="Y222" s="25" t="str">
        <f aca="false">IF($M222&lt;&gt;"Active","",INDEX(Lists!$C$4:$C$14,MATCH($K222,Lists!$A$4:$A$14,0)))</f>
        <v/>
      </c>
      <c r="Z222" s="25" t="str">
        <f aca="false">IF($B222="","",IF($M222&lt;&gt;"Active","Closed",IF($X222="","",IF($X222&gt;$Y222,"BREACH","On Track"))))</f>
        <v/>
      </c>
      <c r="AA222" s="25" t="str">
        <f aca="false">IF($K222="","",IFERROR(INDEX(Lists!$E$4:$E$14,MATCH($K222,Lists!$A$4:$A$14,0)),""))</f>
        <v/>
      </c>
      <c r="AB222" s="27" t="str">
        <f aca="false">IF($U222&lt;&gt;"",$U222,IF(OR($T222="",$M222&lt;&gt;"Active"),"",$T222+N($R222)))</f>
        <v/>
      </c>
      <c r="AC222" s="25" t="str">
        <f aca="false">IF(OR($T222="",$J222=""),"",$T222-$J222)</f>
        <v/>
      </c>
      <c r="AD222" s="25" t="str">
        <f aca="false">IF(AND($K222="Joined",$U222&lt;&gt;"",$J222&lt;&gt;""),$U222-$J222,"")</f>
        <v/>
      </c>
      <c r="AE222" s="25" t="str">
        <f aca="false">IF($K222="","",IF(OR($K222="Rejected",$K222="Withdrawn"),IFERROR(INDEX(Lists!$B$4:$B$14,MATCH($N222,Lists!$A$4:$A$14,0)),1),IFERROR(INDEX(Lists!$B$4:$B$14,MATCH($K222,Lists!$A$4:$A$14,0)),0)))</f>
        <v/>
      </c>
    </row>
    <row r="223" customFormat="false" ht="15" hidden="false" customHeight="false" outlineLevel="0" collapsed="false">
      <c r="A223" s="25" t="str">
        <f aca="false">IF($B223="","","C-"&amp;TEXT(ROW()-1,"0000"))</f>
        <v/>
      </c>
      <c r="B223" s="21"/>
      <c r="C223" s="21"/>
      <c r="D223" s="21"/>
      <c r="E223" s="21"/>
      <c r="F223" s="25" t="str">
        <f aca="false">IF($E223="","",IFERROR(INDEX(Requisitions!$B$2:$B$101,MATCH($E223,Requisitions!$A$2:$A$101,0)),"Unknown Req"))</f>
        <v/>
      </c>
      <c r="G223" s="25" t="str">
        <f aca="false">IF($E223="","",IFERROR(INDEX(Requisitions!$D$2:$D$101,MATCH($E223,Requisitions!$A$2:$A$101,0)),""))</f>
        <v/>
      </c>
      <c r="H223" s="21"/>
      <c r="I223" s="21"/>
      <c r="J223" s="22"/>
      <c r="K223" s="21"/>
      <c r="L223" s="22"/>
      <c r="M223" s="25" t="str">
        <f aca="false">IF($K223="","",IFERROR(INDEX(Lists!$D$4:$D$14,MATCH($K223,Lists!$A$4:$A$14,0)),"Check stage"))</f>
        <v/>
      </c>
      <c r="N223" s="21"/>
      <c r="O223" s="21"/>
      <c r="P223" s="26"/>
      <c r="Q223" s="26"/>
      <c r="R223" s="21"/>
      <c r="S223" s="21"/>
      <c r="T223" s="22"/>
      <c r="U223" s="22"/>
      <c r="V223" s="24" t="str">
        <f aca="false">IF(OR(N($P223)=0,$Q223=""),"",$Q223/$P223-1)</f>
        <v/>
      </c>
      <c r="W223" s="25" t="str">
        <f aca="true">IF($J223="","",IF($M223="Active",TODAY(),IF($U223&lt;&gt;"",$U223,IF($L223&lt;&gt;"",$L223,TODAY())))-$J223)</f>
        <v/>
      </c>
      <c r="X223" s="25" t="str">
        <f aca="true">IF(OR($L223="",$M223&lt;&gt;"Active"),"",TODAY()-$L223)</f>
        <v/>
      </c>
      <c r="Y223" s="25" t="str">
        <f aca="false">IF($M223&lt;&gt;"Active","",INDEX(Lists!$C$4:$C$14,MATCH($K223,Lists!$A$4:$A$14,0)))</f>
        <v/>
      </c>
      <c r="Z223" s="25" t="str">
        <f aca="false">IF($B223="","",IF($M223&lt;&gt;"Active","Closed",IF($X223="","",IF($X223&gt;$Y223,"BREACH","On Track"))))</f>
        <v/>
      </c>
      <c r="AA223" s="25" t="str">
        <f aca="false">IF($K223="","",IFERROR(INDEX(Lists!$E$4:$E$14,MATCH($K223,Lists!$A$4:$A$14,0)),""))</f>
        <v/>
      </c>
      <c r="AB223" s="27" t="str">
        <f aca="false">IF($U223&lt;&gt;"",$U223,IF(OR($T223="",$M223&lt;&gt;"Active"),"",$T223+N($R223)))</f>
        <v/>
      </c>
      <c r="AC223" s="25" t="str">
        <f aca="false">IF(OR($T223="",$J223=""),"",$T223-$J223)</f>
        <v/>
      </c>
      <c r="AD223" s="25" t="str">
        <f aca="false">IF(AND($K223="Joined",$U223&lt;&gt;"",$J223&lt;&gt;""),$U223-$J223,"")</f>
        <v/>
      </c>
      <c r="AE223" s="25" t="str">
        <f aca="false">IF($K223="","",IF(OR($K223="Rejected",$K223="Withdrawn"),IFERROR(INDEX(Lists!$B$4:$B$14,MATCH($N223,Lists!$A$4:$A$14,0)),1),IFERROR(INDEX(Lists!$B$4:$B$14,MATCH($K223,Lists!$A$4:$A$14,0)),0)))</f>
        <v/>
      </c>
    </row>
    <row r="224" customFormat="false" ht="15" hidden="false" customHeight="false" outlineLevel="0" collapsed="false">
      <c r="A224" s="25" t="str">
        <f aca="false">IF($B224="","","C-"&amp;TEXT(ROW()-1,"0000"))</f>
        <v/>
      </c>
      <c r="B224" s="21"/>
      <c r="C224" s="21"/>
      <c r="D224" s="21"/>
      <c r="E224" s="21"/>
      <c r="F224" s="25" t="str">
        <f aca="false">IF($E224="","",IFERROR(INDEX(Requisitions!$B$2:$B$101,MATCH($E224,Requisitions!$A$2:$A$101,0)),"Unknown Req"))</f>
        <v/>
      </c>
      <c r="G224" s="25" t="str">
        <f aca="false">IF($E224="","",IFERROR(INDEX(Requisitions!$D$2:$D$101,MATCH($E224,Requisitions!$A$2:$A$101,0)),""))</f>
        <v/>
      </c>
      <c r="H224" s="21"/>
      <c r="I224" s="21"/>
      <c r="J224" s="22"/>
      <c r="K224" s="21"/>
      <c r="L224" s="22"/>
      <c r="M224" s="25" t="str">
        <f aca="false">IF($K224="","",IFERROR(INDEX(Lists!$D$4:$D$14,MATCH($K224,Lists!$A$4:$A$14,0)),"Check stage"))</f>
        <v/>
      </c>
      <c r="N224" s="21"/>
      <c r="O224" s="21"/>
      <c r="P224" s="26"/>
      <c r="Q224" s="26"/>
      <c r="R224" s="21"/>
      <c r="S224" s="21"/>
      <c r="T224" s="22"/>
      <c r="U224" s="22"/>
      <c r="V224" s="24" t="str">
        <f aca="false">IF(OR(N($P224)=0,$Q224=""),"",$Q224/$P224-1)</f>
        <v/>
      </c>
      <c r="W224" s="25" t="str">
        <f aca="true">IF($J224="","",IF($M224="Active",TODAY(),IF($U224&lt;&gt;"",$U224,IF($L224&lt;&gt;"",$L224,TODAY())))-$J224)</f>
        <v/>
      </c>
      <c r="X224" s="25" t="str">
        <f aca="true">IF(OR($L224="",$M224&lt;&gt;"Active"),"",TODAY()-$L224)</f>
        <v/>
      </c>
      <c r="Y224" s="25" t="str">
        <f aca="false">IF($M224&lt;&gt;"Active","",INDEX(Lists!$C$4:$C$14,MATCH($K224,Lists!$A$4:$A$14,0)))</f>
        <v/>
      </c>
      <c r="Z224" s="25" t="str">
        <f aca="false">IF($B224="","",IF($M224&lt;&gt;"Active","Closed",IF($X224="","",IF($X224&gt;$Y224,"BREACH","On Track"))))</f>
        <v/>
      </c>
      <c r="AA224" s="25" t="str">
        <f aca="false">IF($K224="","",IFERROR(INDEX(Lists!$E$4:$E$14,MATCH($K224,Lists!$A$4:$A$14,0)),""))</f>
        <v/>
      </c>
      <c r="AB224" s="27" t="str">
        <f aca="false">IF($U224&lt;&gt;"",$U224,IF(OR($T224="",$M224&lt;&gt;"Active"),"",$T224+N($R224)))</f>
        <v/>
      </c>
      <c r="AC224" s="25" t="str">
        <f aca="false">IF(OR($T224="",$J224=""),"",$T224-$J224)</f>
        <v/>
      </c>
      <c r="AD224" s="25" t="str">
        <f aca="false">IF(AND($K224="Joined",$U224&lt;&gt;"",$J224&lt;&gt;""),$U224-$J224,"")</f>
        <v/>
      </c>
      <c r="AE224" s="25" t="str">
        <f aca="false">IF($K224="","",IF(OR($K224="Rejected",$K224="Withdrawn"),IFERROR(INDEX(Lists!$B$4:$B$14,MATCH($N224,Lists!$A$4:$A$14,0)),1),IFERROR(INDEX(Lists!$B$4:$B$14,MATCH($K224,Lists!$A$4:$A$14,0)),0)))</f>
        <v/>
      </c>
    </row>
    <row r="225" customFormat="false" ht="15" hidden="false" customHeight="false" outlineLevel="0" collapsed="false">
      <c r="A225" s="25" t="str">
        <f aca="false">IF($B225="","","C-"&amp;TEXT(ROW()-1,"0000"))</f>
        <v/>
      </c>
      <c r="B225" s="21"/>
      <c r="C225" s="21"/>
      <c r="D225" s="21"/>
      <c r="E225" s="21"/>
      <c r="F225" s="25" t="str">
        <f aca="false">IF($E225="","",IFERROR(INDEX(Requisitions!$B$2:$B$101,MATCH($E225,Requisitions!$A$2:$A$101,0)),"Unknown Req"))</f>
        <v/>
      </c>
      <c r="G225" s="25" t="str">
        <f aca="false">IF($E225="","",IFERROR(INDEX(Requisitions!$D$2:$D$101,MATCH($E225,Requisitions!$A$2:$A$101,0)),""))</f>
        <v/>
      </c>
      <c r="H225" s="21"/>
      <c r="I225" s="21"/>
      <c r="J225" s="22"/>
      <c r="K225" s="21"/>
      <c r="L225" s="22"/>
      <c r="M225" s="25" t="str">
        <f aca="false">IF($K225="","",IFERROR(INDEX(Lists!$D$4:$D$14,MATCH($K225,Lists!$A$4:$A$14,0)),"Check stage"))</f>
        <v/>
      </c>
      <c r="N225" s="21"/>
      <c r="O225" s="21"/>
      <c r="P225" s="26"/>
      <c r="Q225" s="26"/>
      <c r="R225" s="21"/>
      <c r="S225" s="21"/>
      <c r="T225" s="22"/>
      <c r="U225" s="22"/>
      <c r="V225" s="24" t="str">
        <f aca="false">IF(OR(N($P225)=0,$Q225=""),"",$Q225/$P225-1)</f>
        <v/>
      </c>
      <c r="W225" s="25" t="str">
        <f aca="true">IF($J225="","",IF($M225="Active",TODAY(),IF($U225&lt;&gt;"",$U225,IF($L225&lt;&gt;"",$L225,TODAY())))-$J225)</f>
        <v/>
      </c>
      <c r="X225" s="25" t="str">
        <f aca="true">IF(OR($L225="",$M225&lt;&gt;"Active"),"",TODAY()-$L225)</f>
        <v/>
      </c>
      <c r="Y225" s="25" t="str">
        <f aca="false">IF($M225&lt;&gt;"Active","",INDEX(Lists!$C$4:$C$14,MATCH($K225,Lists!$A$4:$A$14,0)))</f>
        <v/>
      </c>
      <c r="Z225" s="25" t="str">
        <f aca="false">IF($B225="","",IF($M225&lt;&gt;"Active","Closed",IF($X225="","",IF($X225&gt;$Y225,"BREACH","On Track"))))</f>
        <v/>
      </c>
      <c r="AA225" s="25" t="str">
        <f aca="false">IF($K225="","",IFERROR(INDEX(Lists!$E$4:$E$14,MATCH($K225,Lists!$A$4:$A$14,0)),""))</f>
        <v/>
      </c>
      <c r="AB225" s="27" t="str">
        <f aca="false">IF($U225&lt;&gt;"",$U225,IF(OR($T225="",$M225&lt;&gt;"Active"),"",$T225+N($R225)))</f>
        <v/>
      </c>
      <c r="AC225" s="25" t="str">
        <f aca="false">IF(OR($T225="",$J225=""),"",$T225-$J225)</f>
        <v/>
      </c>
      <c r="AD225" s="25" t="str">
        <f aca="false">IF(AND($K225="Joined",$U225&lt;&gt;"",$J225&lt;&gt;""),$U225-$J225,"")</f>
        <v/>
      </c>
      <c r="AE225" s="25" t="str">
        <f aca="false">IF($K225="","",IF(OR($K225="Rejected",$K225="Withdrawn"),IFERROR(INDEX(Lists!$B$4:$B$14,MATCH($N225,Lists!$A$4:$A$14,0)),1),IFERROR(INDEX(Lists!$B$4:$B$14,MATCH($K225,Lists!$A$4:$A$14,0)),0)))</f>
        <v/>
      </c>
    </row>
    <row r="226" customFormat="false" ht="15" hidden="false" customHeight="false" outlineLevel="0" collapsed="false">
      <c r="A226" s="25" t="str">
        <f aca="false">IF($B226="","","C-"&amp;TEXT(ROW()-1,"0000"))</f>
        <v/>
      </c>
      <c r="B226" s="21"/>
      <c r="C226" s="21"/>
      <c r="D226" s="21"/>
      <c r="E226" s="21"/>
      <c r="F226" s="25" t="str">
        <f aca="false">IF($E226="","",IFERROR(INDEX(Requisitions!$B$2:$B$101,MATCH($E226,Requisitions!$A$2:$A$101,0)),"Unknown Req"))</f>
        <v/>
      </c>
      <c r="G226" s="25" t="str">
        <f aca="false">IF($E226="","",IFERROR(INDEX(Requisitions!$D$2:$D$101,MATCH($E226,Requisitions!$A$2:$A$101,0)),""))</f>
        <v/>
      </c>
      <c r="H226" s="21"/>
      <c r="I226" s="21"/>
      <c r="J226" s="22"/>
      <c r="K226" s="21"/>
      <c r="L226" s="22"/>
      <c r="M226" s="25" t="str">
        <f aca="false">IF($K226="","",IFERROR(INDEX(Lists!$D$4:$D$14,MATCH($K226,Lists!$A$4:$A$14,0)),"Check stage"))</f>
        <v/>
      </c>
      <c r="N226" s="21"/>
      <c r="O226" s="21"/>
      <c r="P226" s="26"/>
      <c r="Q226" s="26"/>
      <c r="R226" s="21"/>
      <c r="S226" s="21"/>
      <c r="T226" s="22"/>
      <c r="U226" s="22"/>
      <c r="V226" s="24" t="str">
        <f aca="false">IF(OR(N($P226)=0,$Q226=""),"",$Q226/$P226-1)</f>
        <v/>
      </c>
      <c r="W226" s="25" t="str">
        <f aca="true">IF($J226="","",IF($M226="Active",TODAY(),IF($U226&lt;&gt;"",$U226,IF($L226&lt;&gt;"",$L226,TODAY())))-$J226)</f>
        <v/>
      </c>
      <c r="X226" s="25" t="str">
        <f aca="true">IF(OR($L226="",$M226&lt;&gt;"Active"),"",TODAY()-$L226)</f>
        <v/>
      </c>
      <c r="Y226" s="25" t="str">
        <f aca="false">IF($M226&lt;&gt;"Active","",INDEX(Lists!$C$4:$C$14,MATCH($K226,Lists!$A$4:$A$14,0)))</f>
        <v/>
      </c>
      <c r="Z226" s="25" t="str">
        <f aca="false">IF($B226="","",IF($M226&lt;&gt;"Active","Closed",IF($X226="","",IF($X226&gt;$Y226,"BREACH","On Track"))))</f>
        <v/>
      </c>
      <c r="AA226" s="25" t="str">
        <f aca="false">IF($K226="","",IFERROR(INDEX(Lists!$E$4:$E$14,MATCH($K226,Lists!$A$4:$A$14,0)),""))</f>
        <v/>
      </c>
      <c r="AB226" s="27" t="str">
        <f aca="false">IF($U226&lt;&gt;"",$U226,IF(OR($T226="",$M226&lt;&gt;"Active"),"",$T226+N($R226)))</f>
        <v/>
      </c>
      <c r="AC226" s="25" t="str">
        <f aca="false">IF(OR($T226="",$J226=""),"",$T226-$J226)</f>
        <v/>
      </c>
      <c r="AD226" s="25" t="str">
        <f aca="false">IF(AND($K226="Joined",$U226&lt;&gt;"",$J226&lt;&gt;""),$U226-$J226,"")</f>
        <v/>
      </c>
      <c r="AE226" s="25" t="str">
        <f aca="false">IF($K226="","",IF(OR($K226="Rejected",$K226="Withdrawn"),IFERROR(INDEX(Lists!$B$4:$B$14,MATCH($N226,Lists!$A$4:$A$14,0)),1),IFERROR(INDEX(Lists!$B$4:$B$14,MATCH($K226,Lists!$A$4:$A$14,0)),0)))</f>
        <v/>
      </c>
    </row>
    <row r="227" customFormat="false" ht="15" hidden="false" customHeight="false" outlineLevel="0" collapsed="false">
      <c r="A227" s="25" t="str">
        <f aca="false">IF($B227="","","C-"&amp;TEXT(ROW()-1,"0000"))</f>
        <v/>
      </c>
      <c r="B227" s="21"/>
      <c r="C227" s="21"/>
      <c r="D227" s="21"/>
      <c r="E227" s="21"/>
      <c r="F227" s="25" t="str">
        <f aca="false">IF($E227="","",IFERROR(INDEX(Requisitions!$B$2:$B$101,MATCH($E227,Requisitions!$A$2:$A$101,0)),"Unknown Req"))</f>
        <v/>
      </c>
      <c r="G227" s="25" t="str">
        <f aca="false">IF($E227="","",IFERROR(INDEX(Requisitions!$D$2:$D$101,MATCH($E227,Requisitions!$A$2:$A$101,0)),""))</f>
        <v/>
      </c>
      <c r="H227" s="21"/>
      <c r="I227" s="21"/>
      <c r="J227" s="22"/>
      <c r="K227" s="21"/>
      <c r="L227" s="22"/>
      <c r="M227" s="25" t="str">
        <f aca="false">IF($K227="","",IFERROR(INDEX(Lists!$D$4:$D$14,MATCH($K227,Lists!$A$4:$A$14,0)),"Check stage"))</f>
        <v/>
      </c>
      <c r="N227" s="21"/>
      <c r="O227" s="21"/>
      <c r="P227" s="26"/>
      <c r="Q227" s="26"/>
      <c r="R227" s="21"/>
      <c r="S227" s="21"/>
      <c r="T227" s="22"/>
      <c r="U227" s="22"/>
      <c r="V227" s="24" t="str">
        <f aca="false">IF(OR(N($P227)=0,$Q227=""),"",$Q227/$P227-1)</f>
        <v/>
      </c>
      <c r="W227" s="25" t="str">
        <f aca="true">IF($J227="","",IF($M227="Active",TODAY(),IF($U227&lt;&gt;"",$U227,IF($L227&lt;&gt;"",$L227,TODAY())))-$J227)</f>
        <v/>
      </c>
      <c r="X227" s="25" t="str">
        <f aca="true">IF(OR($L227="",$M227&lt;&gt;"Active"),"",TODAY()-$L227)</f>
        <v/>
      </c>
      <c r="Y227" s="25" t="str">
        <f aca="false">IF($M227&lt;&gt;"Active","",INDEX(Lists!$C$4:$C$14,MATCH($K227,Lists!$A$4:$A$14,0)))</f>
        <v/>
      </c>
      <c r="Z227" s="25" t="str">
        <f aca="false">IF($B227="","",IF($M227&lt;&gt;"Active","Closed",IF($X227="","",IF($X227&gt;$Y227,"BREACH","On Track"))))</f>
        <v/>
      </c>
      <c r="AA227" s="25" t="str">
        <f aca="false">IF($K227="","",IFERROR(INDEX(Lists!$E$4:$E$14,MATCH($K227,Lists!$A$4:$A$14,0)),""))</f>
        <v/>
      </c>
      <c r="AB227" s="27" t="str">
        <f aca="false">IF($U227&lt;&gt;"",$U227,IF(OR($T227="",$M227&lt;&gt;"Active"),"",$T227+N($R227)))</f>
        <v/>
      </c>
      <c r="AC227" s="25" t="str">
        <f aca="false">IF(OR($T227="",$J227=""),"",$T227-$J227)</f>
        <v/>
      </c>
      <c r="AD227" s="25" t="str">
        <f aca="false">IF(AND($K227="Joined",$U227&lt;&gt;"",$J227&lt;&gt;""),$U227-$J227,"")</f>
        <v/>
      </c>
      <c r="AE227" s="25" t="str">
        <f aca="false">IF($K227="","",IF(OR($K227="Rejected",$K227="Withdrawn"),IFERROR(INDEX(Lists!$B$4:$B$14,MATCH($N227,Lists!$A$4:$A$14,0)),1),IFERROR(INDEX(Lists!$B$4:$B$14,MATCH($K227,Lists!$A$4:$A$14,0)),0)))</f>
        <v/>
      </c>
    </row>
    <row r="228" customFormat="false" ht="15" hidden="false" customHeight="false" outlineLevel="0" collapsed="false">
      <c r="A228" s="25" t="str">
        <f aca="false">IF($B228="","","C-"&amp;TEXT(ROW()-1,"0000"))</f>
        <v/>
      </c>
      <c r="B228" s="21"/>
      <c r="C228" s="21"/>
      <c r="D228" s="21"/>
      <c r="E228" s="21"/>
      <c r="F228" s="25" t="str">
        <f aca="false">IF($E228="","",IFERROR(INDEX(Requisitions!$B$2:$B$101,MATCH($E228,Requisitions!$A$2:$A$101,0)),"Unknown Req"))</f>
        <v/>
      </c>
      <c r="G228" s="25" t="str">
        <f aca="false">IF($E228="","",IFERROR(INDEX(Requisitions!$D$2:$D$101,MATCH($E228,Requisitions!$A$2:$A$101,0)),""))</f>
        <v/>
      </c>
      <c r="H228" s="21"/>
      <c r="I228" s="21"/>
      <c r="J228" s="22"/>
      <c r="K228" s="21"/>
      <c r="L228" s="22"/>
      <c r="M228" s="25" t="str">
        <f aca="false">IF($K228="","",IFERROR(INDEX(Lists!$D$4:$D$14,MATCH($K228,Lists!$A$4:$A$14,0)),"Check stage"))</f>
        <v/>
      </c>
      <c r="N228" s="21"/>
      <c r="O228" s="21"/>
      <c r="P228" s="26"/>
      <c r="Q228" s="26"/>
      <c r="R228" s="21"/>
      <c r="S228" s="21"/>
      <c r="T228" s="22"/>
      <c r="U228" s="22"/>
      <c r="V228" s="24" t="str">
        <f aca="false">IF(OR(N($P228)=0,$Q228=""),"",$Q228/$P228-1)</f>
        <v/>
      </c>
      <c r="W228" s="25" t="str">
        <f aca="true">IF($J228="","",IF($M228="Active",TODAY(),IF($U228&lt;&gt;"",$U228,IF($L228&lt;&gt;"",$L228,TODAY())))-$J228)</f>
        <v/>
      </c>
      <c r="X228" s="25" t="str">
        <f aca="true">IF(OR($L228="",$M228&lt;&gt;"Active"),"",TODAY()-$L228)</f>
        <v/>
      </c>
      <c r="Y228" s="25" t="str">
        <f aca="false">IF($M228&lt;&gt;"Active","",INDEX(Lists!$C$4:$C$14,MATCH($K228,Lists!$A$4:$A$14,0)))</f>
        <v/>
      </c>
      <c r="Z228" s="25" t="str">
        <f aca="false">IF($B228="","",IF($M228&lt;&gt;"Active","Closed",IF($X228="","",IF($X228&gt;$Y228,"BREACH","On Track"))))</f>
        <v/>
      </c>
      <c r="AA228" s="25" t="str">
        <f aca="false">IF($K228="","",IFERROR(INDEX(Lists!$E$4:$E$14,MATCH($K228,Lists!$A$4:$A$14,0)),""))</f>
        <v/>
      </c>
      <c r="AB228" s="27" t="str">
        <f aca="false">IF($U228&lt;&gt;"",$U228,IF(OR($T228="",$M228&lt;&gt;"Active"),"",$T228+N($R228)))</f>
        <v/>
      </c>
      <c r="AC228" s="25" t="str">
        <f aca="false">IF(OR($T228="",$J228=""),"",$T228-$J228)</f>
        <v/>
      </c>
      <c r="AD228" s="25" t="str">
        <f aca="false">IF(AND($K228="Joined",$U228&lt;&gt;"",$J228&lt;&gt;""),$U228-$J228,"")</f>
        <v/>
      </c>
      <c r="AE228" s="25" t="str">
        <f aca="false">IF($K228="","",IF(OR($K228="Rejected",$K228="Withdrawn"),IFERROR(INDEX(Lists!$B$4:$B$14,MATCH($N228,Lists!$A$4:$A$14,0)),1),IFERROR(INDEX(Lists!$B$4:$B$14,MATCH($K228,Lists!$A$4:$A$14,0)),0)))</f>
        <v/>
      </c>
    </row>
    <row r="229" customFormat="false" ht="15" hidden="false" customHeight="false" outlineLevel="0" collapsed="false">
      <c r="A229" s="25" t="str">
        <f aca="false">IF($B229="","","C-"&amp;TEXT(ROW()-1,"0000"))</f>
        <v/>
      </c>
      <c r="B229" s="21"/>
      <c r="C229" s="21"/>
      <c r="D229" s="21"/>
      <c r="E229" s="21"/>
      <c r="F229" s="25" t="str">
        <f aca="false">IF($E229="","",IFERROR(INDEX(Requisitions!$B$2:$B$101,MATCH($E229,Requisitions!$A$2:$A$101,0)),"Unknown Req"))</f>
        <v/>
      </c>
      <c r="G229" s="25" t="str">
        <f aca="false">IF($E229="","",IFERROR(INDEX(Requisitions!$D$2:$D$101,MATCH($E229,Requisitions!$A$2:$A$101,0)),""))</f>
        <v/>
      </c>
      <c r="H229" s="21"/>
      <c r="I229" s="21"/>
      <c r="J229" s="22"/>
      <c r="K229" s="21"/>
      <c r="L229" s="22"/>
      <c r="M229" s="25" t="str">
        <f aca="false">IF($K229="","",IFERROR(INDEX(Lists!$D$4:$D$14,MATCH($K229,Lists!$A$4:$A$14,0)),"Check stage"))</f>
        <v/>
      </c>
      <c r="N229" s="21"/>
      <c r="O229" s="21"/>
      <c r="P229" s="26"/>
      <c r="Q229" s="26"/>
      <c r="R229" s="21"/>
      <c r="S229" s="21"/>
      <c r="T229" s="22"/>
      <c r="U229" s="22"/>
      <c r="V229" s="24" t="str">
        <f aca="false">IF(OR(N($P229)=0,$Q229=""),"",$Q229/$P229-1)</f>
        <v/>
      </c>
      <c r="W229" s="25" t="str">
        <f aca="true">IF($J229="","",IF($M229="Active",TODAY(),IF($U229&lt;&gt;"",$U229,IF($L229&lt;&gt;"",$L229,TODAY())))-$J229)</f>
        <v/>
      </c>
      <c r="X229" s="25" t="str">
        <f aca="true">IF(OR($L229="",$M229&lt;&gt;"Active"),"",TODAY()-$L229)</f>
        <v/>
      </c>
      <c r="Y229" s="25" t="str">
        <f aca="false">IF($M229&lt;&gt;"Active","",INDEX(Lists!$C$4:$C$14,MATCH($K229,Lists!$A$4:$A$14,0)))</f>
        <v/>
      </c>
      <c r="Z229" s="25" t="str">
        <f aca="false">IF($B229="","",IF($M229&lt;&gt;"Active","Closed",IF($X229="","",IF($X229&gt;$Y229,"BREACH","On Track"))))</f>
        <v/>
      </c>
      <c r="AA229" s="25" t="str">
        <f aca="false">IF($K229="","",IFERROR(INDEX(Lists!$E$4:$E$14,MATCH($K229,Lists!$A$4:$A$14,0)),""))</f>
        <v/>
      </c>
      <c r="AB229" s="27" t="str">
        <f aca="false">IF($U229&lt;&gt;"",$U229,IF(OR($T229="",$M229&lt;&gt;"Active"),"",$T229+N($R229)))</f>
        <v/>
      </c>
      <c r="AC229" s="25" t="str">
        <f aca="false">IF(OR($T229="",$J229=""),"",$T229-$J229)</f>
        <v/>
      </c>
      <c r="AD229" s="25" t="str">
        <f aca="false">IF(AND($K229="Joined",$U229&lt;&gt;"",$J229&lt;&gt;""),$U229-$J229,"")</f>
        <v/>
      </c>
      <c r="AE229" s="25" t="str">
        <f aca="false">IF($K229="","",IF(OR($K229="Rejected",$K229="Withdrawn"),IFERROR(INDEX(Lists!$B$4:$B$14,MATCH($N229,Lists!$A$4:$A$14,0)),1),IFERROR(INDEX(Lists!$B$4:$B$14,MATCH($K229,Lists!$A$4:$A$14,0)),0)))</f>
        <v/>
      </c>
    </row>
    <row r="230" customFormat="false" ht="15" hidden="false" customHeight="false" outlineLevel="0" collapsed="false">
      <c r="A230" s="25" t="str">
        <f aca="false">IF($B230="","","C-"&amp;TEXT(ROW()-1,"0000"))</f>
        <v/>
      </c>
      <c r="B230" s="21"/>
      <c r="C230" s="21"/>
      <c r="D230" s="21"/>
      <c r="E230" s="21"/>
      <c r="F230" s="25" t="str">
        <f aca="false">IF($E230="","",IFERROR(INDEX(Requisitions!$B$2:$B$101,MATCH($E230,Requisitions!$A$2:$A$101,0)),"Unknown Req"))</f>
        <v/>
      </c>
      <c r="G230" s="25" t="str">
        <f aca="false">IF($E230="","",IFERROR(INDEX(Requisitions!$D$2:$D$101,MATCH($E230,Requisitions!$A$2:$A$101,0)),""))</f>
        <v/>
      </c>
      <c r="H230" s="21"/>
      <c r="I230" s="21"/>
      <c r="J230" s="22"/>
      <c r="K230" s="21"/>
      <c r="L230" s="22"/>
      <c r="M230" s="25" t="str">
        <f aca="false">IF($K230="","",IFERROR(INDEX(Lists!$D$4:$D$14,MATCH($K230,Lists!$A$4:$A$14,0)),"Check stage"))</f>
        <v/>
      </c>
      <c r="N230" s="21"/>
      <c r="O230" s="21"/>
      <c r="P230" s="26"/>
      <c r="Q230" s="26"/>
      <c r="R230" s="21"/>
      <c r="S230" s="21"/>
      <c r="T230" s="22"/>
      <c r="U230" s="22"/>
      <c r="V230" s="24" t="str">
        <f aca="false">IF(OR(N($P230)=0,$Q230=""),"",$Q230/$P230-1)</f>
        <v/>
      </c>
      <c r="W230" s="25" t="str">
        <f aca="true">IF($J230="","",IF($M230="Active",TODAY(),IF($U230&lt;&gt;"",$U230,IF($L230&lt;&gt;"",$L230,TODAY())))-$J230)</f>
        <v/>
      </c>
      <c r="X230" s="25" t="str">
        <f aca="true">IF(OR($L230="",$M230&lt;&gt;"Active"),"",TODAY()-$L230)</f>
        <v/>
      </c>
      <c r="Y230" s="25" t="str">
        <f aca="false">IF($M230&lt;&gt;"Active","",INDEX(Lists!$C$4:$C$14,MATCH($K230,Lists!$A$4:$A$14,0)))</f>
        <v/>
      </c>
      <c r="Z230" s="25" t="str">
        <f aca="false">IF($B230="","",IF($M230&lt;&gt;"Active","Closed",IF($X230="","",IF($X230&gt;$Y230,"BREACH","On Track"))))</f>
        <v/>
      </c>
      <c r="AA230" s="25" t="str">
        <f aca="false">IF($K230="","",IFERROR(INDEX(Lists!$E$4:$E$14,MATCH($K230,Lists!$A$4:$A$14,0)),""))</f>
        <v/>
      </c>
      <c r="AB230" s="27" t="str">
        <f aca="false">IF($U230&lt;&gt;"",$U230,IF(OR($T230="",$M230&lt;&gt;"Active"),"",$T230+N($R230)))</f>
        <v/>
      </c>
      <c r="AC230" s="25" t="str">
        <f aca="false">IF(OR($T230="",$J230=""),"",$T230-$J230)</f>
        <v/>
      </c>
      <c r="AD230" s="25" t="str">
        <f aca="false">IF(AND($K230="Joined",$U230&lt;&gt;"",$J230&lt;&gt;""),$U230-$J230,"")</f>
        <v/>
      </c>
      <c r="AE230" s="25" t="str">
        <f aca="false">IF($K230="","",IF(OR($K230="Rejected",$K230="Withdrawn"),IFERROR(INDEX(Lists!$B$4:$B$14,MATCH($N230,Lists!$A$4:$A$14,0)),1),IFERROR(INDEX(Lists!$B$4:$B$14,MATCH($K230,Lists!$A$4:$A$14,0)),0)))</f>
        <v/>
      </c>
    </row>
    <row r="231" customFormat="false" ht="15" hidden="false" customHeight="false" outlineLevel="0" collapsed="false">
      <c r="A231" s="25" t="str">
        <f aca="false">IF($B231="","","C-"&amp;TEXT(ROW()-1,"0000"))</f>
        <v/>
      </c>
      <c r="B231" s="21"/>
      <c r="C231" s="21"/>
      <c r="D231" s="21"/>
      <c r="E231" s="21"/>
      <c r="F231" s="25" t="str">
        <f aca="false">IF($E231="","",IFERROR(INDEX(Requisitions!$B$2:$B$101,MATCH($E231,Requisitions!$A$2:$A$101,0)),"Unknown Req"))</f>
        <v/>
      </c>
      <c r="G231" s="25" t="str">
        <f aca="false">IF($E231="","",IFERROR(INDEX(Requisitions!$D$2:$D$101,MATCH($E231,Requisitions!$A$2:$A$101,0)),""))</f>
        <v/>
      </c>
      <c r="H231" s="21"/>
      <c r="I231" s="21"/>
      <c r="J231" s="22"/>
      <c r="K231" s="21"/>
      <c r="L231" s="22"/>
      <c r="M231" s="25" t="str">
        <f aca="false">IF($K231="","",IFERROR(INDEX(Lists!$D$4:$D$14,MATCH($K231,Lists!$A$4:$A$14,0)),"Check stage"))</f>
        <v/>
      </c>
      <c r="N231" s="21"/>
      <c r="O231" s="21"/>
      <c r="P231" s="26"/>
      <c r="Q231" s="26"/>
      <c r="R231" s="21"/>
      <c r="S231" s="21"/>
      <c r="T231" s="22"/>
      <c r="U231" s="22"/>
      <c r="V231" s="24" t="str">
        <f aca="false">IF(OR(N($P231)=0,$Q231=""),"",$Q231/$P231-1)</f>
        <v/>
      </c>
      <c r="W231" s="25" t="str">
        <f aca="true">IF($J231="","",IF($M231="Active",TODAY(),IF($U231&lt;&gt;"",$U231,IF($L231&lt;&gt;"",$L231,TODAY())))-$J231)</f>
        <v/>
      </c>
      <c r="X231" s="25" t="str">
        <f aca="true">IF(OR($L231="",$M231&lt;&gt;"Active"),"",TODAY()-$L231)</f>
        <v/>
      </c>
      <c r="Y231" s="25" t="str">
        <f aca="false">IF($M231&lt;&gt;"Active","",INDEX(Lists!$C$4:$C$14,MATCH($K231,Lists!$A$4:$A$14,0)))</f>
        <v/>
      </c>
      <c r="Z231" s="25" t="str">
        <f aca="false">IF($B231="","",IF($M231&lt;&gt;"Active","Closed",IF($X231="","",IF($X231&gt;$Y231,"BREACH","On Track"))))</f>
        <v/>
      </c>
      <c r="AA231" s="25" t="str">
        <f aca="false">IF($K231="","",IFERROR(INDEX(Lists!$E$4:$E$14,MATCH($K231,Lists!$A$4:$A$14,0)),""))</f>
        <v/>
      </c>
      <c r="AB231" s="27" t="str">
        <f aca="false">IF($U231&lt;&gt;"",$U231,IF(OR($T231="",$M231&lt;&gt;"Active"),"",$T231+N($R231)))</f>
        <v/>
      </c>
      <c r="AC231" s="25" t="str">
        <f aca="false">IF(OR($T231="",$J231=""),"",$T231-$J231)</f>
        <v/>
      </c>
      <c r="AD231" s="25" t="str">
        <f aca="false">IF(AND($K231="Joined",$U231&lt;&gt;"",$J231&lt;&gt;""),$U231-$J231,"")</f>
        <v/>
      </c>
      <c r="AE231" s="25" t="str">
        <f aca="false">IF($K231="","",IF(OR($K231="Rejected",$K231="Withdrawn"),IFERROR(INDEX(Lists!$B$4:$B$14,MATCH($N231,Lists!$A$4:$A$14,0)),1),IFERROR(INDEX(Lists!$B$4:$B$14,MATCH($K231,Lists!$A$4:$A$14,0)),0)))</f>
        <v/>
      </c>
    </row>
    <row r="232" customFormat="false" ht="15" hidden="false" customHeight="false" outlineLevel="0" collapsed="false">
      <c r="A232" s="25" t="str">
        <f aca="false">IF($B232="","","C-"&amp;TEXT(ROW()-1,"0000"))</f>
        <v/>
      </c>
      <c r="B232" s="21"/>
      <c r="C232" s="21"/>
      <c r="D232" s="21"/>
      <c r="E232" s="21"/>
      <c r="F232" s="25" t="str">
        <f aca="false">IF($E232="","",IFERROR(INDEX(Requisitions!$B$2:$B$101,MATCH($E232,Requisitions!$A$2:$A$101,0)),"Unknown Req"))</f>
        <v/>
      </c>
      <c r="G232" s="25" t="str">
        <f aca="false">IF($E232="","",IFERROR(INDEX(Requisitions!$D$2:$D$101,MATCH($E232,Requisitions!$A$2:$A$101,0)),""))</f>
        <v/>
      </c>
      <c r="H232" s="21"/>
      <c r="I232" s="21"/>
      <c r="J232" s="22"/>
      <c r="K232" s="21"/>
      <c r="L232" s="22"/>
      <c r="M232" s="25" t="str">
        <f aca="false">IF($K232="","",IFERROR(INDEX(Lists!$D$4:$D$14,MATCH($K232,Lists!$A$4:$A$14,0)),"Check stage"))</f>
        <v/>
      </c>
      <c r="N232" s="21"/>
      <c r="O232" s="21"/>
      <c r="P232" s="26"/>
      <c r="Q232" s="26"/>
      <c r="R232" s="21"/>
      <c r="S232" s="21"/>
      <c r="T232" s="22"/>
      <c r="U232" s="22"/>
      <c r="V232" s="24" t="str">
        <f aca="false">IF(OR(N($P232)=0,$Q232=""),"",$Q232/$P232-1)</f>
        <v/>
      </c>
      <c r="W232" s="25" t="str">
        <f aca="true">IF($J232="","",IF($M232="Active",TODAY(),IF($U232&lt;&gt;"",$U232,IF($L232&lt;&gt;"",$L232,TODAY())))-$J232)</f>
        <v/>
      </c>
      <c r="X232" s="25" t="str">
        <f aca="true">IF(OR($L232="",$M232&lt;&gt;"Active"),"",TODAY()-$L232)</f>
        <v/>
      </c>
      <c r="Y232" s="25" t="str">
        <f aca="false">IF($M232&lt;&gt;"Active","",INDEX(Lists!$C$4:$C$14,MATCH($K232,Lists!$A$4:$A$14,0)))</f>
        <v/>
      </c>
      <c r="Z232" s="25" t="str">
        <f aca="false">IF($B232="","",IF($M232&lt;&gt;"Active","Closed",IF($X232="","",IF($X232&gt;$Y232,"BREACH","On Track"))))</f>
        <v/>
      </c>
      <c r="AA232" s="25" t="str">
        <f aca="false">IF($K232="","",IFERROR(INDEX(Lists!$E$4:$E$14,MATCH($K232,Lists!$A$4:$A$14,0)),""))</f>
        <v/>
      </c>
      <c r="AB232" s="27" t="str">
        <f aca="false">IF($U232&lt;&gt;"",$U232,IF(OR($T232="",$M232&lt;&gt;"Active"),"",$T232+N($R232)))</f>
        <v/>
      </c>
      <c r="AC232" s="25" t="str">
        <f aca="false">IF(OR($T232="",$J232=""),"",$T232-$J232)</f>
        <v/>
      </c>
      <c r="AD232" s="25" t="str">
        <f aca="false">IF(AND($K232="Joined",$U232&lt;&gt;"",$J232&lt;&gt;""),$U232-$J232,"")</f>
        <v/>
      </c>
      <c r="AE232" s="25" t="str">
        <f aca="false">IF($K232="","",IF(OR($K232="Rejected",$K232="Withdrawn"),IFERROR(INDEX(Lists!$B$4:$B$14,MATCH($N232,Lists!$A$4:$A$14,0)),1),IFERROR(INDEX(Lists!$B$4:$B$14,MATCH($K232,Lists!$A$4:$A$14,0)),0)))</f>
        <v/>
      </c>
    </row>
    <row r="233" customFormat="false" ht="15" hidden="false" customHeight="false" outlineLevel="0" collapsed="false">
      <c r="A233" s="25" t="str">
        <f aca="false">IF($B233="","","C-"&amp;TEXT(ROW()-1,"0000"))</f>
        <v/>
      </c>
      <c r="B233" s="21"/>
      <c r="C233" s="21"/>
      <c r="D233" s="21"/>
      <c r="E233" s="21"/>
      <c r="F233" s="25" t="str">
        <f aca="false">IF($E233="","",IFERROR(INDEX(Requisitions!$B$2:$B$101,MATCH($E233,Requisitions!$A$2:$A$101,0)),"Unknown Req"))</f>
        <v/>
      </c>
      <c r="G233" s="25" t="str">
        <f aca="false">IF($E233="","",IFERROR(INDEX(Requisitions!$D$2:$D$101,MATCH($E233,Requisitions!$A$2:$A$101,0)),""))</f>
        <v/>
      </c>
      <c r="H233" s="21"/>
      <c r="I233" s="21"/>
      <c r="J233" s="22"/>
      <c r="K233" s="21"/>
      <c r="L233" s="22"/>
      <c r="M233" s="25" t="str">
        <f aca="false">IF($K233="","",IFERROR(INDEX(Lists!$D$4:$D$14,MATCH($K233,Lists!$A$4:$A$14,0)),"Check stage"))</f>
        <v/>
      </c>
      <c r="N233" s="21"/>
      <c r="O233" s="21"/>
      <c r="P233" s="26"/>
      <c r="Q233" s="26"/>
      <c r="R233" s="21"/>
      <c r="S233" s="21"/>
      <c r="T233" s="22"/>
      <c r="U233" s="22"/>
      <c r="V233" s="24" t="str">
        <f aca="false">IF(OR(N($P233)=0,$Q233=""),"",$Q233/$P233-1)</f>
        <v/>
      </c>
      <c r="W233" s="25" t="str">
        <f aca="true">IF($J233="","",IF($M233="Active",TODAY(),IF($U233&lt;&gt;"",$U233,IF($L233&lt;&gt;"",$L233,TODAY())))-$J233)</f>
        <v/>
      </c>
      <c r="X233" s="25" t="str">
        <f aca="true">IF(OR($L233="",$M233&lt;&gt;"Active"),"",TODAY()-$L233)</f>
        <v/>
      </c>
      <c r="Y233" s="25" t="str">
        <f aca="false">IF($M233&lt;&gt;"Active","",INDEX(Lists!$C$4:$C$14,MATCH($K233,Lists!$A$4:$A$14,0)))</f>
        <v/>
      </c>
      <c r="Z233" s="25" t="str">
        <f aca="false">IF($B233="","",IF($M233&lt;&gt;"Active","Closed",IF($X233="","",IF($X233&gt;$Y233,"BREACH","On Track"))))</f>
        <v/>
      </c>
      <c r="AA233" s="25" t="str">
        <f aca="false">IF($K233="","",IFERROR(INDEX(Lists!$E$4:$E$14,MATCH($K233,Lists!$A$4:$A$14,0)),""))</f>
        <v/>
      </c>
      <c r="AB233" s="27" t="str">
        <f aca="false">IF($U233&lt;&gt;"",$U233,IF(OR($T233="",$M233&lt;&gt;"Active"),"",$T233+N($R233)))</f>
        <v/>
      </c>
      <c r="AC233" s="25" t="str">
        <f aca="false">IF(OR($T233="",$J233=""),"",$T233-$J233)</f>
        <v/>
      </c>
      <c r="AD233" s="25" t="str">
        <f aca="false">IF(AND($K233="Joined",$U233&lt;&gt;"",$J233&lt;&gt;""),$U233-$J233,"")</f>
        <v/>
      </c>
      <c r="AE233" s="25" t="str">
        <f aca="false">IF($K233="","",IF(OR($K233="Rejected",$K233="Withdrawn"),IFERROR(INDEX(Lists!$B$4:$B$14,MATCH($N233,Lists!$A$4:$A$14,0)),1),IFERROR(INDEX(Lists!$B$4:$B$14,MATCH($K233,Lists!$A$4:$A$14,0)),0)))</f>
        <v/>
      </c>
    </row>
    <row r="234" customFormat="false" ht="15" hidden="false" customHeight="false" outlineLevel="0" collapsed="false">
      <c r="A234" s="25" t="str">
        <f aca="false">IF($B234="","","C-"&amp;TEXT(ROW()-1,"0000"))</f>
        <v/>
      </c>
      <c r="B234" s="21"/>
      <c r="C234" s="21"/>
      <c r="D234" s="21"/>
      <c r="E234" s="21"/>
      <c r="F234" s="25" t="str">
        <f aca="false">IF($E234="","",IFERROR(INDEX(Requisitions!$B$2:$B$101,MATCH($E234,Requisitions!$A$2:$A$101,0)),"Unknown Req"))</f>
        <v/>
      </c>
      <c r="G234" s="25" t="str">
        <f aca="false">IF($E234="","",IFERROR(INDEX(Requisitions!$D$2:$D$101,MATCH($E234,Requisitions!$A$2:$A$101,0)),""))</f>
        <v/>
      </c>
      <c r="H234" s="21"/>
      <c r="I234" s="21"/>
      <c r="J234" s="22"/>
      <c r="K234" s="21"/>
      <c r="L234" s="22"/>
      <c r="M234" s="25" t="str">
        <f aca="false">IF($K234="","",IFERROR(INDEX(Lists!$D$4:$D$14,MATCH($K234,Lists!$A$4:$A$14,0)),"Check stage"))</f>
        <v/>
      </c>
      <c r="N234" s="21"/>
      <c r="O234" s="21"/>
      <c r="P234" s="26"/>
      <c r="Q234" s="26"/>
      <c r="R234" s="21"/>
      <c r="S234" s="21"/>
      <c r="T234" s="22"/>
      <c r="U234" s="22"/>
      <c r="V234" s="24" t="str">
        <f aca="false">IF(OR(N($P234)=0,$Q234=""),"",$Q234/$P234-1)</f>
        <v/>
      </c>
      <c r="W234" s="25" t="str">
        <f aca="true">IF($J234="","",IF($M234="Active",TODAY(),IF($U234&lt;&gt;"",$U234,IF($L234&lt;&gt;"",$L234,TODAY())))-$J234)</f>
        <v/>
      </c>
      <c r="X234" s="25" t="str">
        <f aca="true">IF(OR($L234="",$M234&lt;&gt;"Active"),"",TODAY()-$L234)</f>
        <v/>
      </c>
      <c r="Y234" s="25" t="str">
        <f aca="false">IF($M234&lt;&gt;"Active","",INDEX(Lists!$C$4:$C$14,MATCH($K234,Lists!$A$4:$A$14,0)))</f>
        <v/>
      </c>
      <c r="Z234" s="25" t="str">
        <f aca="false">IF($B234="","",IF($M234&lt;&gt;"Active","Closed",IF($X234="","",IF($X234&gt;$Y234,"BREACH","On Track"))))</f>
        <v/>
      </c>
      <c r="AA234" s="25" t="str">
        <f aca="false">IF($K234="","",IFERROR(INDEX(Lists!$E$4:$E$14,MATCH($K234,Lists!$A$4:$A$14,0)),""))</f>
        <v/>
      </c>
      <c r="AB234" s="27" t="str">
        <f aca="false">IF($U234&lt;&gt;"",$U234,IF(OR($T234="",$M234&lt;&gt;"Active"),"",$T234+N($R234)))</f>
        <v/>
      </c>
      <c r="AC234" s="25" t="str">
        <f aca="false">IF(OR($T234="",$J234=""),"",$T234-$J234)</f>
        <v/>
      </c>
      <c r="AD234" s="25" t="str">
        <f aca="false">IF(AND($K234="Joined",$U234&lt;&gt;"",$J234&lt;&gt;""),$U234-$J234,"")</f>
        <v/>
      </c>
      <c r="AE234" s="25" t="str">
        <f aca="false">IF($K234="","",IF(OR($K234="Rejected",$K234="Withdrawn"),IFERROR(INDEX(Lists!$B$4:$B$14,MATCH($N234,Lists!$A$4:$A$14,0)),1),IFERROR(INDEX(Lists!$B$4:$B$14,MATCH($K234,Lists!$A$4:$A$14,0)),0)))</f>
        <v/>
      </c>
    </row>
    <row r="235" customFormat="false" ht="15" hidden="false" customHeight="false" outlineLevel="0" collapsed="false">
      <c r="A235" s="25" t="str">
        <f aca="false">IF($B235="","","C-"&amp;TEXT(ROW()-1,"0000"))</f>
        <v/>
      </c>
      <c r="B235" s="21"/>
      <c r="C235" s="21"/>
      <c r="D235" s="21"/>
      <c r="E235" s="21"/>
      <c r="F235" s="25" t="str">
        <f aca="false">IF($E235="","",IFERROR(INDEX(Requisitions!$B$2:$B$101,MATCH($E235,Requisitions!$A$2:$A$101,0)),"Unknown Req"))</f>
        <v/>
      </c>
      <c r="G235" s="25" t="str">
        <f aca="false">IF($E235="","",IFERROR(INDEX(Requisitions!$D$2:$D$101,MATCH($E235,Requisitions!$A$2:$A$101,0)),""))</f>
        <v/>
      </c>
      <c r="H235" s="21"/>
      <c r="I235" s="21"/>
      <c r="J235" s="22"/>
      <c r="K235" s="21"/>
      <c r="L235" s="22"/>
      <c r="M235" s="25" t="str">
        <f aca="false">IF($K235="","",IFERROR(INDEX(Lists!$D$4:$D$14,MATCH($K235,Lists!$A$4:$A$14,0)),"Check stage"))</f>
        <v/>
      </c>
      <c r="N235" s="21"/>
      <c r="O235" s="21"/>
      <c r="P235" s="26"/>
      <c r="Q235" s="26"/>
      <c r="R235" s="21"/>
      <c r="S235" s="21"/>
      <c r="T235" s="22"/>
      <c r="U235" s="22"/>
      <c r="V235" s="24" t="str">
        <f aca="false">IF(OR(N($P235)=0,$Q235=""),"",$Q235/$P235-1)</f>
        <v/>
      </c>
      <c r="W235" s="25" t="str">
        <f aca="true">IF($J235="","",IF($M235="Active",TODAY(),IF($U235&lt;&gt;"",$U235,IF($L235&lt;&gt;"",$L235,TODAY())))-$J235)</f>
        <v/>
      </c>
      <c r="X235" s="25" t="str">
        <f aca="true">IF(OR($L235="",$M235&lt;&gt;"Active"),"",TODAY()-$L235)</f>
        <v/>
      </c>
      <c r="Y235" s="25" t="str">
        <f aca="false">IF($M235&lt;&gt;"Active","",INDEX(Lists!$C$4:$C$14,MATCH($K235,Lists!$A$4:$A$14,0)))</f>
        <v/>
      </c>
      <c r="Z235" s="25" t="str">
        <f aca="false">IF($B235="","",IF($M235&lt;&gt;"Active","Closed",IF($X235="","",IF($X235&gt;$Y235,"BREACH","On Track"))))</f>
        <v/>
      </c>
      <c r="AA235" s="25" t="str">
        <f aca="false">IF($K235="","",IFERROR(INDEX(Lists!$E$4:$E$14,MATCH($K235,Lists!$A$4:$A$14,0)),""))</f>
        <v/>
      </c>
      <c r="AB235" s="27" t="str">
        <f aca="false">IF($U235&lt;&gt;"",$U235,IF(OR($T235="",$M235&lt;&gt;"Active"),"",$T235+N($R235)))</f>
        <v/>
      </c>
      <c r="AC235" s="25" t="str">
        <f aca="false">IF(OR($T235="",$J235=""),"",$T235-$J235)</f>
        <v/>
      </c>
      <c r="AD235" s="25" t="str">
        <f aca="false">IF(AND($K235="Joined",$U235&lt;&gt;"",$J235&lt;&gt;""),$U235-$J235,"")</f>
        <v/>
      </c>
      <c r="AE235" s="25" t="str">
        <f aca="false">IF($K235="","",IF(OR($K235="Rejected",$K235="Withdrawn"),IFERROR(INDEX(Lists!$B$4:$B$14,MATCH($N235,Lists!$A$4:$A$14,0)),1),IFERROR(INDEX(Lists!$B$4:$B$14,MATCH($K235,Lists!$A$4:$A$14,0)),0)))</f>
        <v/>
      </c>
    </row>
    <row r="236" customFormat="false" ht="15" hidden="false" customHeight="false" outlineLevel="0" collapsed="false">
      <c r="A236" s="25" t="str">
        <f aca="false">IF($B236="","","C-"&amp;TEXT(ROW()-1,"0000"))</f>
        <v/>
      </c>
      <c r="B236" s="21"/>
      <c r="C236" s="21"/>
      <c r="D236" s="21"/>
      <c r="E236" s="21"/>
      <c r="F236" s="25" t="str">
        <f aca="false">IF($E236="","",IFERROR(INDEX(Requisitions!$B$2:$B$101,MATCH($E236,Requisitions!$A$2:$A$101,0)),"Unknown Req"))</f>
        <v/>
      </c>
      <c r="G236" s="25" t="str">
        <f aca="false">IF($E236="","",IFERROR(INDEX(Requisitions!$D$2:$D$101,MATCH($E236,Requisitions!$A$2:$A$101,0)),""))</f>
        <v/>
      </c>
      <c r="H236" s="21"/>
      <c r="I236" s="21"/>
      <c r="J236" s="22"/>
      <c r="K236" s="21"/>
      <c r="L236" s="22"/>
      <c r="M236" s="25" t="str">
        <f aca="false">IF($K236="","",IFERROR(INDEX(Lists!$D$4:$D$14,MATCH($K236,Lists!$A$4:$A$14,0)),"Check stage"))</f>
        <v/>
      </c>
      <c r="N236" s="21"/>
      <c r="O236" s="21"/>
      <c r="P236" s="26"/>
      <c r="Q236" s="26"/>
      <c r="R236" s="21"/>
      <c r="S236" s="21"/>
      <c r="T236" s="22"/>
      <c r="U236" s="22"/>
      <c r="V236" s="24" t="str">
        <f aca="false">IF(OR(N($P236)=0,$Q236=""),"",$Q236/$P236-1)</f>
        <v/>
      </c>
      <c r="W236" s="25" t="str">
        <f aca="true">IF($J236="","",IF($M236="Active",TODAY(),IF($U236&lt;&gt;"",$U236,IF($L236&lt;&gt;"",$L236,TODAY())))-$J236)</f>
        <v/>
      </c>
      <c r="X236" s="25" t="str">
        <f aca="true">IF(OR($L236="",$M236&lt;&gt;"Active"),"",TODAY()-$L236)</f>
        <v/>
      </c>
      <c r="Y236" s="25" t="str">
        <f aca="false">IF($M236&lt;&gt;"Active","",INDEX(Lists!$C$4:$C$14,MATCH($K236,Lists!$A$4:$A$14,0)))</f>
        <v/>
      </c>
      <c r="Z236" s="25" t="str">
        <f aca="false">IF($B236="","",IF($M236&lt;&gt;"Active","Closed",IF($X236="","",IF($X236&gt;$Y236,"BREACH","On Track"))))</f>
        <v/>
      </c>
      <c r="AA236" s="25" t="str">
        <f aca="false">IF($K236="","",IFERROR(INDEX(Lists!$E$4:$E$14,MATCH($K236,Lists!$A$4:$A$14,0)),""))</f>
        <v/>
      </c>
      <c r="AB236" s="27" t="str">
        <f aca="false">IF($U236&lt;&gt;"",$U236,IF(OR($T236="",$M236&lt;&gt;"Active"),"",$T236+N($R236)))</f>
        <v/>
      </c>
      <c r="AC236" s="25" t="str">
        <f aca="false">IF(OR($T236="",$J236=""),"",$T236-$J236)</f>
        <v/>
      </c>
      <c r="AD236" s="25" t="str">
        <f aca="false">IF(AND($K236="Joined",$U236&lt;&gt;"",$J236&lt;&gt;""),$U236-$J236,"")</f>
        <v/>
      </c>
      <c r="AE236" s="25" t="str">
        <f aca="false">IF($K236="","",IF(OR($K236="Rejected",$K236="Withdrawn"),IFERROR(INDEX(Lists!$B$4:$B$14,MATCH($N236,Lists!$A$4:$A$14,0)),1),IFERROR(INDEX(Lists!$B$4:$B$14,MATCH($K236,Lists!$A$4:$A$14,0)),0)))</f>
        <v/>
      </c>
    </row>
    <row r="237" customFormat="false" ht="15" hidden="false" customHeight="false" outlineLevel="0" collapsed="false">
      <c r="A237" s="25" t="str">
        <f aca="false">IF($B237="","","C-"&amp;TEXT(ROW()-1,"0000"))</f>
        <v/>
      </c>
      <c r="B237" s="21"/>
      <c r="C237" s="21"/>
      <c r="D237" s="21"/>
      <c r="E237" s="21"/>
      <c r="F237" s="25" t="str">
        <f aca="false">IF($E237="","",IFERROR(INDEX(Requisitions!$B$2:$B$101,MATCH($E237,Requisitions!$A$2:$A$101,0)),"Unknown Req"))</f>
        <v/>
      </c>
      <c r="G237" s="25" t="str">
        <f aca="false">IF($E237="","",IFERROR(INDEX(Requisitions!$D$2:$D$101,MATCH($E237,Requisitions!$A$2:$A$101,0)),""))</f>
        <v/>
      </c>
      <c r="H237" s="21"/>
      <c r="I237" s="21"/>
      <c r="J237" s="22"/>
      <c r="K237" s="21"/>
      <c r="L237" s="22"/>
      <c r="M237" s="25" t="str">
        <f aca="false">IF($K237="","",IFERROR(INDEX(Lists!$D$4:$D$14,MATCH($K237,Lists!$A$4:$A$14,0)),"Check stage"))</f>
        <v/>
      </c>
      <c r="N237" s="21"/>
      <c r="O237" s="21"/>
      <c r="P237" s="26"/>
      <c r="Q237" s="26"/>
      <c r="R237" s="21"/>
      <c r="S237" s="21"/>
      <c r="T237" s="22"/>
      <c r="U237" s="22"/>
      <c r="V237" s="24" t="str">
        <f aca="false">IF(OR(N($P237)=0,$Q237=""),"",$Q237/$P237-1)</f>
        <v/>
      </c>
      <c r="W237" s="25" t="str">
        <f aca="true">IF($J237="","",IF($M237="Active",TODAY(),IF($U237&lt;&gt;"",$U237,IF($L237&lt;&gt;"",$L237,TODAY())))-$J237)</f>
        <v/>
      </c>
      <c r="X237" s="25" t="str">
        <f aca="true">IF(OR($L237="",$M237&lt;&gt;"Active"),"",TODAY()-$L237)</f>
        <v/>
      </c>
      <c r="Y237" s="25" t="str">
        <f aca="false">IF($M237&lt;&gt;"Active","",INDEX(Lists!$C$4:$C$14,MATCH($K237,Lists!$A$4:$A$14,0)))</f>
        <v/>
      </c>
      <c r="Z237" s="25" t="str">
        <f aca="false">IF($B237="","",IF($M237&lt;&gt;"Active","Closed",IF($X237="","",IF($X237&gt;$Y237,"BREACH","On Track"))))</f>
        <v/>
      </c>
      <c r="AA237" s="25" t="str">
        <f aca="false">IF($K237="","",IFERROR(INDEX(Lists!$E$4:$E$14,MATCH($K237,Lists!$A$4:$A$14,0)),""))</f>
        <v/>
      </c>
      <c r="AB237" s="27" t="str">
        <f aca="false">IF($U237&lt;&gt;"",$U237,IF(OR($T237="",$M237&lt;&gt;"Active"),"",$T237+N($R237)))</f>
        <v/>
      </c>
      <c r="AC237" s="25" t="str">
        <f aca="false">IF(OR($T237="",$J237=""),"",$T237-$J237)</f>
        <v/>
      </c>
      <c r="AD237" s="25" t="str">
        <f aca="false">IF(AND($K237="Joined",$U237&lt;&gt;"",$J237&lt;&gt;""),$U237-$J237,"")</f>
        <v/>
      </c>
      <c r="AE237" s="25" t="str">
        <f aca="false">IF($K237="","",IF(OR($K237="Rejected",$K237="Withdrawn"),IFERROR(INDEX(Lists!$B$4:$B$14,MATCH($N237,Lists!$A$4:$A$14,0)),1),IFERROR(INDEX(Lists!$B$4:$B$14,MATCH($K237,Lists!$A$4:$A$14,0)),0)))</f>
        <v/>
      </c>
    </row>
    <row r="238" customFormat="false" ht="15" hidden="false" customHeight="false" outlineLevel="0" collapsed="false">
      <c r="A238" s="25" t="str">
        <f aca="false">IF($B238="","","C-"&amp;TEXT(ROW()-1,"0000"))</f>
        <v/>
      </c>
      <c r="B238" s="21"/>
      <c r="C238" s="21"/>
      <c r="D238" s="21"/>
      <c r="E238" s="21"/>
      <c r="F238" s="25" t="str">
        <f aca="false">IF($E238="","",IFERROR(INDEX(Requisitions!$B$2:$B$101,MATCH($E238,Requisitions!$A$2:$A$101,0)),"Unknown Req"))</f>
        <v/>
      </c>
      <c r="G238" s="25" t="str">
        <f aca="false">IF($E238="","",IFERROR(INDEX(Requisitions!$D$2:$D$101,MATCH($E238,Requisitions!$A$2:$A$101,0)),""))</f>
        <v/>
      </c>
      <c r="H238" s="21"/>
      <c r="I238" s="21"/>
      <c r="J238" s="22"/>
      <c r="K238" s="21"/>
      <c r="L238" s="22"/>
      <c r="M238" s="25" t="str">
        <f aca="false">IF($K238="","",IFERROR(INDEX(Lists!$D$4:$D$14,MATCH($K238,Lists!$A$4:$A$14,0)),"Check stage"))</f>
        <v/>
      </c>
      <c r="N238" s="21"/>
      <c r="O238" s="21"/>
      <c r="P238" s="26"/>
      <c r="Q238" s="26"/>
      <c r="R238" s="21"/>
      <c r="S238" s="21"/>
      <c r="T238" s="22"/>
      <c r="U238" s="22"/>
      <c r="V238" s="24" t="str">
        <f aca="false">IF(OR(N($P238)=0,$Q238=""),"",$Q238/$P238-1)</f>
        <v/>
      </c>
      <c r="W238" s="25" t="str">
        <f aca="true">IF($J238="","",IF($M238="Active",TODAY(),IF($U238&lt;&gt;"",$U238,IF($L238&lt;&gt;"",$L238,TODAY())))-$J238)</f>
        <v/>
      </c>
      <c r="X238" s="25" t="str">
        <f aca="true">IF(OR($L238="",$M238&lt;&gt;"Active"),"",TODAY()-$L238)</f>
        <v/>
      </c>
      <c r="Y238" s="25" t="str">
        <f aca="false">IF($M238&lt;&gt;"Active","",INDEX(Lists!$C$4:$C$14,MATCH($K238,Lists!$A$4:$A$14,0)))</f>
        <v/>
      </c>
      <c r="Z238" s="25" t="str">
        <f aca="false">IF($B238="","",IF($M238&lt;&gt;"Active","Closed",IF($X238="","",IF($X238&gt;$Y238,"BREACH","On Track"))))</f>
        <v/>
      </c>
      <c r="AA238" s="25" t="str">
        <f aca="false">IF($K238="","",IFERROR(INDEX(Lists!$E$4:$E$14,MATCH($K238,Lists!$A$4:$A$14,0)),""))</f>
        <v/>
      </c>
      <c r="AB238" s="27" t="str">
        <f aca="false">IF($U238&lt;&gt;"",$U238,IF(OR($T238="",$M238&lt;&gt;"Active"),"",$T238+N($R238)))</f>
        <v/>
      </c>
      <c r="AC238" s="25" t="str">
        <f aca="false">IF(OR($T238="",$J238=""),"",$T238-$J238)</f>
        <v/>
      </c>
      <c r="AD238" s="25" t="str">
        <f aca="false">IF(AND($K238="Joined",$U238&lt;&gt;"",$J238&lt;&gt;""),$U238-$J238,"")</f>
        <v/>
      </c>
      <c r="AE238" s="25" t="str">
        <f aca="false">IF($K238="","",IF(OR($K238="Rejected",$K238="Withdrawn"),IFERROR(INDEX(Lists!$B$4:$B$14,MATCH($N238,Lists!$A$4:$A$14,0)),1),IFERROR(INDEX(Lists!$B$4:$B$14,MATCH($K238,Lists!$A$4:$A$14,0)),0)))</f>
        <v/>
      </c>
    </row>
    <row r="239" customFormat="false" ht="15" hidden="false" customHeight="false" outlineLevel="0" collapsed="false">
      <c r="A239" s="25" t="str">
        <f aca="false">IF($B239="","","C-"&amp;TEXT(ROW()-1,"0000"))</f>
        <v/>
      </c>
      <c r="B239" s="21"/>
      <c r="C239" s="21"/>
      <c r="D239" s="21"/>
      <c r="E239" s="21"/>
      <c r="F239" s="25" t="str">
        <f aca="false">IF($E239="","",IFERROR(INDEX(Requisitions!$B$2:$B$101,MATCH($E239,Requisitions!$A$2:$A$101,0)),"Unknown Req"))</f>
        <v/>
      </c>
      <c r="G239" s="25" t="str">
        <f aca="false">IF($E239="","",IFERROR(INDEX(Requisitions!$D$2:$D$101,MATCH($E239,Requisitions!$A$2:$A$101,0)),""))</f>
        <v/>
      </c>
      <c r="H239" s="21"/>
      <c r="I239" s="21"/>
      <c r="J239" s="22"/>
      <c r="K239" s="21"/>
      <c r="L239" s="22"/>
      <c r="M239" s="25" t="str">
        <f aca="false">IF($K239="","",IFERROR(INDEX(Lists!$D$4:$D$14,MATCH($K239,Lists!$A$4:$A$14,0)),"Check stage"))</f>
        <v/>
      </c>
      <c r="N239" s="21"/>
      <c r="O239" s="21"/>
      <c r="P239" s="26"/>
      <c r="Q239" s="26"/>
      <c r="R239" s="21"/>
      <c r="S239" s="21"/>
      <c r="T239" s="22"/>
      <c r="U239" s="22"/>
      <c r="V239" s="24" t="str">
        <f aca="false">IF(OR(N($P239)=0,$Q239=""),"",$Q239/$P239-1)</f>
        <v/>
      </c>
      <c r="W239" s="25" t="str">
        <f aca="true">IF($J239="","",IF($M239="Active",TODAY(),IF($U239&lt;&gt;"",$U239,IF($L239&lt;&gt;"",$L239,TODAY())))-$J239)</f>
        <v/>
      </c>
      <c r="X239" s="25" t="str">
        <f aca="true">IF(OR($L239="",$M239&lt;&gt;"Active"),"",TODAY()-$L239)</f>
        <v/>
      </c>
      <c r="Y239" s="25" t="str">
        <f aca="false">IF($M239&lt;&gt;"Active","",INDEX(Lists!$C$4:$C$14,MATCH($K239,Lists!$A$4:$A$14,0)))</f>
        <v/>
      </c>
      <c r="Z239" s="25" t="str">
        <f aca="false">IF($B239="","",IF($M239&lt;&gt;"Active","Closed",IF($X239="","",IF($X239&gt;$Y239,"BREACH","On Track"))))</f>
        <v/>
      </c>
      <c r="AA239" s="25" t="str">
        <f aca="false">IF($K239="","",IFERROR(INDEX(Lists!$E$4:$E$14,MATCH($K239,Lists!$A$4:$A$14,0)),""))</f>
        <v/>
      </c>
      <c r="AB239" s="27" t="str">
        <f aca="false">IF($U239&lt;&gt;"",$U239,IF(OR($T239="",$M239&lt;&gt;"Active"),"",$T239+N($R239)))</f>
        <v/>
      </c>
      <c r="AC239" s="25" t="str">
        <f aca="false">IF(OR($T239="",$J239=""),"",$T239-$J239)</f>
        <v/>
      </c>
      <c r="AD239" s="25" t="str">
        <f aca="false">IF(AND($K239="Joined",$U239&lt;&gt;"",$J239&lt;&gt;""),$U239-$J239,"")</f>
        <v/>
      </c>
      <c r="AE239" s="25" t="str">
        <f aca="false">IF($K239="","",IF(OR($K239="Rejected",$K239="Withdrawn"),IFERROR(INDEX(Lists!$B$4:$B$14,MATCH($N239,Lists!$A$4:$A$14,0)),1),IFERROR(INDEX(Lists!$B$4:$B$14,MATCH($K239,Lists!$A$4:$A$14,0)),0)))</f>
        <v/>
      </c>
    </row>
    <row r="240" customFormat="false" ht="15" hidden="false" customHeight="false" outlineLevel="0" collapsed="false">
      <c r="A240" s="25" t="str">
        <f aca="false">IF($B240="","","C-"&amp;TEXT(ROW()-1,"0000"))</f>
        <v/>
      </c>
      <c r="B240" s="21"/>
      <c r="C240" s="21"/>
      <c r="D240" s="21"/>
      <c r="E240" s="21"/>
      <c r="F240" s="25" t="str">
        <f aca="false">IF($E240="","",IFERROR(INDEX(Requisitions!$B$2:$B$101,MATCH($E240,Requisitions!$A$2:$A$101,0)),"Unknown Req"))</f>
        <v/>
      </c>
      <c r="G240" s="25" t="str">
        <f aca="false">IF($E240="","",IFERROR(INDEX(Requisitions!$D$2:$D$101,MATCH($E240,Requisitions!$A$2:$A$101,0)),""))</f>
        <v/>
      </c>
      <c r="H240" s="21"/>
      <c r="I240" s="21"/>
      <c r="J240" s="22"/>
      <c r="K240" s="21"/>
      <c r="L240" s="22"/>
      <c r="M240" s="25" t="str">
        <f aca="false">IF($K240="","",IFERROR(INDEX(Lists!$D$4:$D$14,MATCH($K240,Lists!$A$4:$A$14,0)),"Check stage"))</f>
        <v/>
      </c>
      <c r="N240" s="21"/>
      <c r="O240" s="21"/>
      <c r="P240" s="26"/>
      <c r="Q240" s="26"/>
      <c r="R240" s="21"/>
      <c r="S240" s="21"/>
      <c r="T240" s="22"/>
      <c r="U240" s="22"/>
      <c r="V240" s="24" t="str">
        <f aca="false">IF(OR(N($P240)=0,$Q240=""),"",$Q240/$P240-1)</f>
        <v/>
      </c>
      <c r="W240" s="25" t="str">
        <f aca="true">IF($J240="","",IF($M240="Active",TODAY(),IF($U240&lt;&gt;"",$U240,IF($L240&lt;&gt;"",$L240,TODAY())))-$J240)</f>
        <v/>
      </c>
      <c r="X240" s="25" t="str">
        <f aca="true">IF(OR($L240="",$M240&lt;&gt;"Active"),"",TODAY()-$L240)</f>
        <v/>
      </c>
      <c r="Y240" s="25" t="str">
        <f aca="false">IF($M240&lt;&gt;"Active","",INDEX(Lists!$C$4:$C$14,MATCH($K240,Lists!$A$4:$A$14,0)))</f>
        <v/>
      </c>
      <c r="Z240" s="25" t="str">
        <f aca="false">IF($B240="","",IF($M240&lt;&gt;"Active","Closed",IF($X240="","",IF($X240&gt;$Y240,"BREACH","On Track"))))</f>
        <v/>
      </c>
      <c r="AA240" s="25" t="str">
        <f aca="false">IF($K240="","",IFERROR(INDEX(Lists!$E$4:$E$14,MATCH($K240,Lists!$A$4:$A$14,0)),""))</f>
        <v/>
      </c>
      <c r="AB240" s="27" t="str">
        <f aca="false">IF($U240&lt;&gt;"",$U240,IF(OR($T240="",$M240&lt;&gt;"Active"),"",$T240+N($R240)))</f>
        <v/>
      </c>
      <c r="AC240" s="25" t="str">
        <f aca="false">IF(OR($T240="",$J240=""),"",$T240-$J240)</f>
        <v/>
      </c>
      <c r="AD240" s="25" t="str">
        <f aca="false">IF(AND($K240="Joined",$U240&lt;&gt;"",$J240&lt;&gt;""),$U240-$J240,"")</f>
        <v/>
      </c>
      <c r="AE240" s="25" t="str">
        <f aca="false">IF($K240="","",IF(OR($K240="Rejected",$K240="Withdrawn"),IFERROR(INDEX(Lists!$B$4:$B$14,MATCH($N240,Lists!$A$4:$A$14,0)),1),IFERROR(INDEX(Lists!$B$4:$B$14,MATCH($K240,Lists!$A$4:$A$14,0)),0)))</f>
        <v/>
      </c>
    </row>
    <row r="241" customFormat="false" ht="15" hidden="false" customHeight="false" outlineLevel="0" collapsed="false">
      <c r="A241" s="25" t="str">
        <f aca="false">IF($B241="","","C-"&amp;TEXT(ROW()-1,"0000"))</f>
        <v/>
      </c>
      <c r="B241" s="21"/>
      <c r="C241" s="21"/>
      <c r="D241" s="21"/>
      <c r="E241" s="21"/>
      <c r="F241" s="25" t="str">
        <f aca="false">IF($E241="","",IFERROR(INDEX(Requisitions!$B$2:$B$101,MATCH($E241,Requisitions!$A$2:$A$101,0)),"Unknown Req"))</f>
        <v/>
      </c>
      <c r="G241" s="25" t="str">
        <f aca="false">IF($E241="","",IFERROR(INDEX(Requisitions!$D$2:$D$101,MATCH($E241,Requisitions!$A$2:$A$101,0)),""))</f>
        <v/>
      </c>
      <c r="H241" s="21"/>
      <c r="I241" s="21"/>
      <c r="J241" s="22"/>
      <c r="K241" s="21"/>
      <c r="L241" s="22"/>
      <c r="M241" s="25" t="str">
        <f aca="false">IF($K241="","",IFERROR(INDEX(Lists!$D$4:$D$14,MATCH($K241,Lists!$A$4:$A$14,0)),"Check stage"))</f>
        <v/>
      </c>
      <c r="N241" s="21"/>
      <c r="O241" s="21"/>
      <c r="P241" s="26"/>
      <c r="Q241" s="26"/>
      <c r="R241" s="21"/>
      <c r="S241" s="21"/>
      <c r="T241" s="22"/>
      <c r="U241" s="22"/>
      <c r="V241" s="24" t="str">
        <f aca="false">IF(OR(N($P241)=0,$Q241=""),"",$Q241/$P241-1)</f>
        <v/>
      </c>
      <c r="W241" s="25" t="str">
        <f aca="true">IF($J241="","",IF($M241="Active",TODAY(),IF($U241&lt;&gt;"",$U241,IF($L241&lt;&gt;"",$L241,TODAY())))-$J241)</f>
        <v/>
      </c>
      <c r="X241" s="25" t="str">
        <f aca="true">IF(OR($L241="",$M241&lt;&gt;"Active"),"",TODAY()-$L241)</f>
        <v/>
      </c>
      <c r="Y241" s="25" t="str">
        <f aca="false">IF($M241&lt;&gt;"Active","",INDEX(Lists!$C$4:$C$14,MATCH($K241,Lists!$A$4:$A$14,0)))</f>
        <v/>
      </c>
      <c r="Z241" s="25" t="str">
        <f aca="false">IF($B241="","",IF($M241&lt;&gt;"Active","Closed",IF($X241="","",IF($X241&gt;$Y241,"BREACH","On Track"))))</f>
        <v/>
      </c>
      <c r="AA241" s="25" t="str">
        <f aca="false">IF($K241="","",IFERROR(INDEX(Lists!$E$4:$E$14,MATCH($K241,Lists!$A$4:$A$14,0)),""))</f>
        <v/>
      </c>
      <c r="AB241" s="27" t="str">
        <f aca="false">IF($U241&lt;&gt;"",$U241,IF(OR($T241="",$M241&lt;&gt;"Active"),"",$T241+N($R241)))</f>
        <v/>
      </c>
      <c r="AC241" s="25" t="str">
        <f aca="false">IF(OR($T241="",$J241=""),"",$T241-$J241)</f>
        <v/>
      </c>
      <c r="AD241" s="25" t="str">
        <f aca="false">IF(AND($K241="Joined",$U241&lt;&gt;"",$J241&lt;&gt;""),$U241-$J241,"")</f>
        <v/>
      </c>
      <c r="AE241" s="25" t="str">
        <f aca="false">IF($K241="","",IF(OR($K241="Rejected",$K241="Withdrawn"),IFERROR(INDEX(Lists!$B$4:$B$14,MATCH($N241,Lists!$A$4:$A$14,0)),1),IFERROR(INDEX(Lists!$B$4:$B$14,MATCH($K241,Lists!$A$4:$A$14,0)),0)))</f>
        <v/>
      </c>
    </row>
    <row r="242" customFormat="false" ht="15" hidden="false" customHeight="false" outlineLevel="0" collapsed="false">
      <c r="A242" s="25" t="str">
        <f aca="false">IF($B242="","","C-"&amp;TEXT(ROW()-1,"0000"))</f>
        <v/>
      </c>
      <c r="B242" s="21"/>
      <c r="C242" s="21"/>
      <c r="D242" s="21"/>
      <c r="E242" s="21"/>
      <c r="F242" s="25" t="str">
        <f aca="false">IF($E242="","",IFERROR(INDEX(Requisitions!$B$2:$B$101,MATCH($E242,Requisitions!$A$2:$A$101,0)),"Unknown Req"))</f>
        <v/>
      </c>
      <c r="G242" s="25" t="str">
        <f aca="false">IF($E242="","",IFERROR(INDEX(Requisitions!$D$2:$D$101,MATCH($E242,Requisitions!$A$2:$A$101,0)),""))</f>
        <v/>
      </c>
      <c r="H242" s="21"/>
      <c r="I242" s="21"/>
      <c r="J242" s="22"/>
      <c r="K242" s="21"/>
      <c r="L242" s="22"/>
      <c r="M242" s="25" t="str">
        <f aca="false">IF($K242="","",IFERROR(INDEX(Lists!$D$4:$D$14,MATCH($K242,Lists!$A$4:$A$14,0)),"Check stage"))</f>
        <v/>
      </c>
      <c r="N242" s="21"/>
      <c r="O242" s="21"/>
      <c r="P242" s="26"/>
      <c r="Q242" s="26"/>
      <c r="R242" s="21"/>
      <c r="S242" s="21"/>
      <c r="T242" s="22"/>
      <c r="U242" s="22"/>
      <c r="V242" s="24" t="str">
        <f aca="false">IF(OR(N($P242)=0,$Q242=""),"",$Q242/$P242-1)</f>
        <v/>
      </c>
      <c r="W242" s="25" t="str">
        <f aca="true">IF($J242="","",IF($M242="Active",TODAY(),IF($U242&lt;&gt;"",$U242,IF($L242&lt;&gt;"",$L242,TODAY())))-$J242)</f>
        <v/>
      </c>
      <c r="X242" s="25" t="str">
        <f aca="true">IF(OR($L242="",$M242&lt;&gt;"Active"),"",TODAY()-$L242)</f>
        <v/>
      </c>
      <c r="Y242" s="25" t="str">
        <f aca="false">IF($M242&lt;&gt;"Active","",INDEX(Lists!$C$4:$C$14,MATCH($K242,Lists!$A$4:$A$14,0)))</f>
        <v/>
      </c>
      <c r="Z242" s="25" t="str">
        <f aca="false">IF($B242="","",IF($M242&lt;&gt;"Active","Closed",IF($X242="","",IF($X242&gt;$Y242,"BREACH","On Track"))))</f>
        <v/>
      </c>
      <c r="AA242" s="25" t="str">
        <f aca="false">IF($K242="","",IFERROR(INDEX(Lists!$E$4:$E$14,MATCH($K242,Lists!$A$4:$A$14,0)),""))</f>
        <v/>
      </c>
      <c r="AB242" s="27" t="str">
        <f aca="false">IF($U242&lt;&gt;"",$U242,IF(OR($T242="",$M242&lt;&gt;"Active"),"",$T242+N($R242)))</f>
        <v/>
      </c>
      <c r="AC242" s="25" t="str">
        <f aca="false">IF(OR($T242="",$J242=""),"",$T242-$J242)</f>
        <v/>
      </c>
      <c r="AD242" s="25" t="str">
        <f aca="false">IF(AND($K242="Joined",$U242&lt;&gt;"",$J242&lt;&gt;""),$U242-$J242,"")</f>
        <v/>
      </c>
      <c r="AE242" s="25" t="str">
        <f aca="false">IF($K242="","",IF(OR($K242="Rejected",$K242="Withdrawn"),IFERROR(INDEX(Lists!$B$4:$B$14,MATCH($N242,Lists!$A$4:$A$14,0)),1),IFERROR(INDEX(Lists!$B$4:$B$14,MATCH($K242,Lists!$A$4:$A$14,0)),0)))</f>
        <v/>
      </c>
    </row>
    <row r="243" customFormat="false" ht="15" hidden="false" customHeight="false" outlineLevel="0" collapsed="false">
      <c r="A243" s="25" t="str">
        <f aca="false">IF($B243="","","C-"&amp;TEXT(ROW()-1,"0000"))</f>
        <v/>
      </c>
      <c r="B243" s="21"/>
      <c r="C243" s="21"/>
      <c r="D243" s="21"/>
      <c r="E243" s="21"/>
      <c r="F243" s="25" t="str">
        <f aca="false">IF($E243="","",IFERROR(INDEX(Requisitions!$B$2:$B$101,MATCH($E243,Requisitions!$A$2:$A$101,0)),"Unknown Req"))</f>
        <v/>
      </c>
      <c r="G243" s="25" t="str">
        <f aca="false">IF($E243="","",IFERROR(INDEX(Requisitions!$D$2:$D$101,MATCH($E243,Requisitions!$A$2:$A$101,0)),""))</f>
        <v/>
      </c>
      <c r="H243" s="21"/>
      <c r="I243" s="21"/>
      <c r="J243" s="22"/>
      <c r="K243" s="21"/>
      <c r="L243" s="22"/>
      <c r="M243" s="25" t="str">
        <f aca="false">IF($K243="","",IFERROR(INDEX(Lists!$D$4:$D$14,MATCH($K243,Lists!$A$4:$A$14,0)),"Check stage"))</f>
        <v/>
      </c>
      <c r="N243" s="21"/>
      <c r="O243" s="21"/>
      <c r="P243" s="26"/>
      <c r="Q243" s="26"/>
      <c r="R243" s="21"/>
      <c r="S243" s="21"/>
      <c r="T243" s="22"/>
      <c r="U243" s="22"/>
      <c r="V243" s="24" t="str">
        <f aca="false">IF(OR(N($P243)=0,$Q243=""),"",$Q243/$P243-1)</f>
        <v/>
      </c>
      <c r="W243" s="25" t="str">
        <f aca="true">IF($J243="","",IF($M243="Active",TODAY(),IF($U243&lt;&gt;"",$U243,IF($L243&lt;&gt;"",$L243,TODAY())))-$J243)</f>
        <v/>
      </c>
      <c r="X243" s="25" t="str">
        <f aca="true">IF(OR($L243="",$M243&lt;&gt;"Active"),"",TODAY()-$L243)</f>
        <v/>
      </c>
      <c r="Y243" s="25" t="str">
        <f aca="false">IF($M243&lt;&gt;"Active","",INDEX(Lists!$C$4:$C$14,MATCH($K243,Lists!$A$4:$A$14,0)))</f>
        <v/>
      </c>
      <c r="Z243" s="25" t="str">
        <f aca="false">IF($B243="","",IF($M243&lt;&gt;"Active","Closed",IF($X243="","",IF($X243&gt;$Y243,"BREACH","On Track"))))</f>
        <v/>
      </c>
      <c r="AA243" s="25" t="str">
        <f aca="false">IF($K243="","",IFERROR(INDEX(Lists!$E$4:$E$14,MATCH($K243,Lists!$A$4:$A$14,0)),""))</f>
        <v/>
      </c>
      <c r="AB243" s="27" t="str">
        <f aca="false">IF($U243&lt;&gt;"",$U243,IF(OR($T243="",$M243&lt;&gt;"Active"),"",$T243+N($R243)))</f>
        <v/>
      </c>
      <c r="AC243" s="25" t="str">
        <f aca="false">IF(OR($T243="",$J243=""),"",$T243-$J243)</f>
        <v/>
      </c>
      <c r="AD243" s="25" t="str">
        <f aca="false">IF(AND($K243="Joined",$U243&lt;&gt;"",$J243&lt;&gt;""),$U243-$J243,"")</f>
        <v/>
      </c>
      <c r="AE243" s="25" t="str">
        <f aca="false">IF($K243="","",IF(OR($K243="Rejected",$K243="Withdrawn"),IFERROR(INDEX(Lists!$B$4:$B$14,MATCH($N243,Lists!$A$4:$A$14,0)),1),IFERROR(INDEX(Lists!$B$4:$B$14,MATCH($K243,Lists!$A$4:$A$14,0)),0)))</f>
        <v/>
      </c>
    </row>
    <row r="244" customFormat="false" ht="15" hidden="false" customHeight="false" outlineLevel="0" collapsed="false">
      <c r="A244" s="25" t="str">
        <f aca="false">IF($B244="","","C-"&amp;TEXT(ROW()-1,"0000"))</f>
        <v/>
      </c>
      <c r="B244" s="21"/>
      <c r="C244" s="21"/>
      <c r="D244" s="21"/>
      <c r="E244" s="21"/>
      <c r="F244" s="25" t="str">
        <f aca="false">IF($E244="","",IFERROR(INDEX(Requisitions!$B$2:$B$101,MATCH($E244,Requisitions!$A$2:$A$101,0)),"Unknown Req"))</f>
        <v/>
      </c>
      <c r="G244" s="25" t="str">
        <f aca="false">IF($E244="","",IFERROR(INDEX(Requisitions!$D$2:$D$101,MATCH($E244,Requisitions!$A$2:$A$101,0)),""))</f>
        <v/>
      </c>
      <c r="H244" s="21"/>
      <c r="I244" s="21"/>
      <c r="J244" s="22"/>
      <c r="K244" s="21"/>
      <c r="L244" s="22"/>
      <c r="M244" s="25" t="str">
        <f aca="false">IF($K244="","",IFERROR(INDEX(Lists!$D$4:$D$14,MATCH($K244,Lists!$A$4:$A$14,0)),"Check stage"))</f>
        <v/>
      </c>
      <c r="N244" s="21"/>
      <c r="O244" s="21"/>
      <c r="P244" s="26"/>
      <c r="Q244" s="26"/>
      <c r="R244" s="21"/>
      <c r="S244" s="21"/>
      <c r="T244" s="22"/>
      <c r="U244" s="22"/>
      <c r="V244" s="24" t="str">
        <f aca="false">IF(OR(N($P244)=0,$Q244=""),"",$Q244/$P244-1)</f>
        <v/>
      </c>
      <c r="W244" s="25" t="str">
        <f aca="true">IF($J244="","",IF($M244="Active",TODAY(),IF($U244&lt;&gt;"",$U244,IF($L244&lt;&gt;"",$L244,TODAY())))-$J244)</f>
        <v/>
      </c>
      <c r="X244" s="25" t="str">
        <f aca="true">IF(OR($L244="",$M244&lt;&gt;"Active"),"",TODAY()-$L244)</f>
        <v/>
      </c>
      <c r="Y244" s="25" t="str">
        <f aca="false">IF($M244&lt;&gt;"Active","",INDEX(Lists!$C$4:$C$14,MATCH($K244,Lists!$A$4:$A$14,0)))</f>
        <v/>
      </c>
      <c r="Z244" s="25" t="str">
        <f aca="false">IF($B244="","",IF($M244&lt;&gt;"Active","Closed",IF($X244="","",IF($X244&gt;$Y244,"BREACH","On Track"))))</f>
        <v/>
      </c>
      <c r="AA244" s="25" t="str">
        <f aca="false">IF($K244="","",IFERROR(INDEX(Lists!$E$4:$E$14,MATCH($K244,Lists!$A$4:$A$14,0)),""))</f>
        <v/>
      </c>
      <c r="AB244" s="27" t="str">
        <f aca="false">IF($U244&lt;&gt;"",$U244,IF(OR($T244="",$M244&lt;&gt;"Active"),"",$T244+N($R244)))</f>
        <v/>
      </c>
      <c r="AC244" s="25" t="str">
        <f aca="false">IF(OR($T244="",$J244=""),"",$T244-$J244)</f>
        <v/>
      </c>
      <c r="AD244" s="25" t="str">
        <f aca="false">IF(AND($K244="Joined",$U244&lt;&gt;"",$J244&lt;&gt;""),$U244-$J244,"")</f>
        <v/>
      </c>
      <c r="AE244" s="25" t="str">
        <f aca="false">IF($K244="","",IF(OR($K244="Rejected",$K244="Withdrawn"),IFERROR(INDEX(Lists!$B$4:$B$14,MATCH($N244,Lists!$A$4:$A$14,0)),1),IFERROR(INDEX(Lists!$B$4:$B$14,MATCH($K244,Lists!$A$4:$A$14,0)),0)))</f>
        <v/>
      </c>
    </row>
    <row r="245" customFormat="false" ht="15" hidden="false" customHeight="false" outlineLevel="0" collapsed="false">
      <c r="A245" s="25" t="str">
        <f aca="false">IF($B245="","","C-"&amp;TEXT(ROW()-1,"0000"))</f>
        <v/>
      </c>
      <c r="B245" s="21"/>
      <c r="C245" s="21"/>
      <c r="D245" s="21"/>
      <c r="E245" s="21"/>
      <c r="F245" s="25" t="str">
        <f aca="false">IF($E245="","",IFERROR(INDEX(Requisitions!$B$2:$B$101,MATCH($E245,Requisitions!$A$2:$A$101,0)),"Unknown Req"))</f>
        <v/>
      </c>
      <c r="G245" s="25" t="str">
        <f aca="false">IF($E245="","",IFERROR(INDEX(Requisitions!$D$2:$D$101,MATCH($E245,Requisitions!$A$2:$A$101,0)),""))</f>
        <v/>
      </c>
      <c r="H245" s="21"/>
      <c r="I245" s="21"/>
      <c r="J245" s="22"/>
      <c r="K245" s="21"/>
      <c r="L245" s="22"/>
      <c r="M245" s="25" t="str">
        <f aca="false">IF($K245="","",IFERROR(INDEX(Lists!$D$4:$D$14,MATCH($K245,Lists!$A$4:$A$14,0)),"Check stage"))</f>
        <v/>
      </c>
      <c r="N245" s="21"/>
      <c r="O245" s="21"/>
      <c r="P245" s="26"/>
      <c r="Q245" s="26"/>
      <c r="R245" s="21"/>
      <c r="S245" s="21"/>
      <c r="T245" s="22"/>
      <c r="U245" s="22"/>
      <c r="V245" s="24" t="str">
        <f aca="false">IF(OR(N($P245)=0,$Q245=""),"",$Q245/$P245-1)</f>
        <v/>
      </c>
      <c r="W245" s="25" t="str">
        <f aca="true">IF($J245="","",IF($M245="Active",TODAY(),IF($U245&lt;&gt;"",$U245,IF($L245&lt;&gt;"",$L245,TODAY())))-$J245)</f>
        <v/>
      </c>
      <c r="X245" s="25" t="str">
        <f aca="true">IF(OR($L245="",$M245&lt;&gt;"Active"),"",TODAY()-$L245)</f>
        <v/>
      </c>
      <c r="Y245" s="25" t="str">
        <f aca="false">IF($M245&lt;&gt;"Active","",INDEX(Lists!$C$4:$C$14,MATCH($K245,Lists!$A$4:$A$14,0)))</f>
        <v/>
      </c>
      <c r="Z245" s="25" t="str">
        <f aca="false">IF($B245="","",IF($M245&lt;&gt;"Active","Closed",IF($X245="","",IF($X245&gt;$Y245,"BREACH","On Track"))))</f>
        <v/>
      </c>
      <c r="AA245" s="25" t="str">
        <f aca="false">IF($K245="","",IFERROR(INDEX(Lists!$E$4:$E$14,MATCH($K245,Lists!$A$4:$A$14,0)),""))</f>
        <v/>
      </c>
      <c r="AB245" s="27" t="str">
        <f aca="false">IF($U245&lt;&gt;"",$U245,IF(OR($T245="",$M245&lt;&gt;"Active"),"",$T245+N($R245)))</f>
        <v/>
      </c>
      <c r="AC245" s="25" t="str">
        <f aca="false">IF(OR($T245="",$J245=""),"",$T245-$J245)</f>
        <v/>
      </c>
      <c r="AD245" s="25" t="str">
        <f aca="false">IF(AND($K245="Joined",$U245&lt;&gt;"",$J245&lt;&gt;""),$U245-$J245,"")</f>
        <v/>
      </c>
      <c r="AE245" s="25" t="str">
        <f aca="false">IF($K245="","",IF(OR($K245="Rejected",$K245="Withdrawn"),IFERROR(INDEX(Lists!$B$4:$B$14,MATCH($N245,Lists!$A$4:$A$14,0)),1),IFERROR(INDEX(Lists!$B$4:$B$14,MATCH($K245,Lists!$A$4:$A$14,0)),0)))</f>
        <v/>
      </c>
    </row>
    <row r="246" customFormat="false" ht="15" hidden="false" customHeight="false" outlineLevel="0" collapsed="false">
      <c r="A246" s="25" t="str">
        <f aca="false">IF($B246="","","C-"&amp;TEXT(ROW()-1,"0000"))</f>
        <v/>
      </c>
      <c r="B246" s="21"/>
      <c r="C246" s="21"/>
      <c r="D246" s="21"/>
      <c r="E246" s="21"/>
      <c r="F246" s="25" t="str">
        <f aca="false">IF($E246="","",IFERROR(INDEX(Requisitions!$B$2:$B$101,MATCH($E246,Requisitions!$A$2:$A$101,0)),"Unknown Req"))</f>
        <v/>
      </c>
      <c r="G246" s="25" t="str">
        <f aca="false">IF($E246="","",IFERROR(INDEX(Requisitions!$D$2:$D$101,MATCH($E246,Requisitions!$A$2:$A$101,0)),""))</f>
        <v/>
      </c>
      <c r="H246" s="21"/>
      <c r="I246" s="21"/>
      <c r="J246" s="22"/>
      <c r="K246" s="21"/>
      <c r="L246" s="22"/>
      <c r="M246" s="25" t="str">
        <f aca="false">IF($K246="","",IFERROR(INDEX(Lists!$D$4:$D$14,MATCH($K246,Lists!$A$4:$A$14,0)),"Check stage"))</f>
        <v/>
      </c>
      <c r="N246" s="21"/>
      <c r="O246" s="21"/>
      <c r="P246" s="26"/>
      <c r="Q246" s="26"/>
      <c r="R246" s="21"/>
      <c r="S246" s="21"/>
      <c r="T246" s="22"/>
      <c r="U246" s="22"/>
      <c r="V246" s="24" t="str">
        <f aca="false">IF(OR(N($P246)=0,$Q246=""),"",$Q246/$P246-1)</f>
        <v/>
      </c>
      <c r="W246" s="25" t="str">
        <f aca="true">IF($J246="","",IF($M246="Active",TODAY(),IF($U246&lt;&gt;"",$U246,IF($L246&lt;&gt;"",$L246,TODAY())))-$J246)</f>
        <v/>
      </c>
      <c r="X246" s="25" t="str">
        <f aca="true">IF(OR($L246="",$M246&lt;&gt;"Active"),"",TODAY()-$L246)</f>
        <v/>
      </c>
      <c r="Y246" s="25" t="str">
        <f aca="false">IF($M246&lt;&gt;"Active","",INDEX(Lists!$C$4:$C$14,MATCH($K246,Lists!$A$4:$A$14,0)))</f>
        <v/>
      </c>
      <c r="Z246" s="25" t="str">
        <f aca="false">IF($B246="","",IF($M246&lt;&gt;"Active","Closed",IF($X246="","",IF($X246&gt;$Y246,"BREACH","On Track"))))</f>
        <v/>
      </c>
      <c r="AA246" s="25" t="str">
        <f aca="false">IF($K246="","",IFERROR(INDEX(Lists!$E$4:$E$14,MATCH($K246,Lists!$A$4:$A$14,0)),""))</f>
        <v/>
      </c>
      <c r="AB246" s="27" t="str">
        <f aca="false">IF($U246&lt;&gt;"",$U246,IF(OR($T246="",$M246&lt;&gt;"Active"),"",$T246+N($R246)))</f>
        <v/>
      </c>
      <c r="AC246" s="25" t="str">
        <f aca="false">IF(OR($T246="",$J246=""),"",$T246-$J246)</f>
        <v/>
      </c>
      <c r="AD246" s="25" t="str">
        <f aca="false">IF(AND($K246="Joined",$U246&lt;&gt;"",$J246&lt;&gt;""),$U246-$J246,"")</f>
        <v/>
      </c>
      <c r="AE246" s="25" t="str">
        <f aca="false">IF($K246="","",IF(OR($K246="Rejected",$K246="Withdrawn"),IFERROR(INDEX(Lists!$B$4:$B$14,MATCH($N246,Lists!$A$4:$A$14,0)),1),IFERROR(INDEX(Lists!$B$4:$B$14,MATCH($K246,Lists!$A$4:$A$14,0)),0)))</f>
        <v/>
      </c>
    </row>
    <row r="247" customFormat="false" ht="15" hidden="false" customHeight="false" outlineLevel="0" collapsed="false">
      <c r="A247" s="25" t="str">
        <f aca="false">IF($B247="","","C-"&amp;TEXT(ROW()-1,"0000"))</f>
        <v/>
      </c>
      <c r="B247" s="21"/>
      <c r="C247" s="21"/>
      <c r="D247" s="21"/>
      <c r="E247" s="21"/>
      <c r="F247" s="25" t="str">
        <f aca="false">IF($E247="","",IFERROR(INDEX(Requisitions!$B$2:$B$101,MATCH($E247,Requisitions!$A$2:$A$101,0)),"Unknown Req"))</f>
        <v/>
      </c>
      <c r="G247" s="25" t="str">
        <f aca="false">IF($E247="","",IFERROR(INDEX(Requisitions!$D$2:$D$101,MATCH($E247,Requisitions!$A$2:$A$101,0)),""))</f>
        <v/>
      </c>
      <c r="H247" s="21"/>
      <c r="I247" s="21"/>
      <c r="J247" s="22"/>
      <c r="K247" s="21"/>
      <c r="L247" s="22"/>
      <c r="M247" s="25" t="str">
        <f aca="false">IF($K247="","",IFERROR(INDEX(Lists!$D$4:$D$14,MATCH($K247,Lists!$A$4:$A$14,0)),"Check stage"))</f>
        <v/>
      </c>
      <c r="N247" s="21"/>
      <c r="O247" s="21"/>
      <c r="P247" s="26"/>
      <c r="Q247" s="26"/>
      <c r="R247" s="21"/>
      <c r="S247" s="21"/>
      <c r="T247" s="22"/>
      <c r="U247" s="22"/>
      <c r="V247" s="24" t="str">
        <f aca="false">IF(OR(N($P247)=0,$Q247=""),"",$Q247/$P247-1)</f>
        <v/>
      </c>
      <c r="W247" s="25" t="str">
        <f aca="true">IF($J247="","",IF($M247="Active",TODAY(),IF($U247&lt;&gt;"",$U247,IF($L247&lt;&gt;"",$L247,TODAY())))-$J247)</f>
        <v/>
      </c>
      <c r="X247" s="25" t="str">
        <f aca="true">IF(OR($L247="",$M247&lt;&gt;"Active"),"",TODAY()-$L247)</f>
        <v/>
      </c>
      <c r="Y247" s="25" t="str">
        <f aca="false">IF($M247&lt;&gt;"Active","",INDEX(Lists!$C$4:$C$14,MATCH($K247,Lists!$A$4:$A$14,0)))</f>
        <v/>
      </c>
      <c r="Z247" s="25" t="str">
        <f aca="false">IF($B247="","",IF($M247&lt;&gt;"Active","Closed",IF($X247="","",IF($X247&gt;$Y247,"BREACH","On Track"))))</f>
        <v/>
      </c>
      <c r="AA247" s="25" t="str">
        <f aca="false">IF($K247="","",IFERROR(INDEX(Lists!$E$4:$E$14,MATCH($K247,Lists!$A$4:$A$14,0)),""))</f>
        <v/>
      </c>
      <c r="AB247" s="27" t="str">
        <f aca="false">IF($U247&lt;&gt;"",$U247,IF(OR($T247="",$M247&lt;&gt;"Active"),"",$T247+N($R247)))</f>
        <v/>
      </c>
      <c r="AC247" s="25" t="str">
        <f aca="false">IF(OR($T247="",$J247=""),"",$T247-$J247)</f>
        <v/>
      </c>
      <c r="AD247" s="25" t="str">
        <f aca="false">IF(AND($K247="Joined",$U247&lt;&gt;"",$J247&lt;&gt;""),$U247-$J247,"")</f>
        <v/>
      </c>
      <c r="AE247" s="25" t="str">
        <f aca="false">IF($K247="","",IF(OR($K247="Rejected",$K247="Withdrawn"),IFERROR(INDEX(Lists!$B$4:$B$14,MATCH($N247,Lists!$A$4:$A$14,0)),1),IFERROR(INDEX(Lists!$B$4:$B$14,MATCH($K247,Lists!$A$4:$A$14,0)),0)))</f>
        <v/>
      </c>
    </row>
    <row r="248" customFormat="false" ht="15" hidden="false" customHeight="false" outlineLevel="0" collapsed="false">
      <c r="A248" s="25" t="str">
        <f aca="false">IF($B248="","","C-"&amp;TEXT(ROW()-1,"0000"))</f>
        <v/>
      </c>
      <c r="B248" s="21"/>
      <c r="C248" s="21"/>
      <c r="D248" s="21"/>
      <c r="E248" s="21"/>
      <c r="F248" s="25" t="str">
        <f aca="false">IF($E248="","",IFERROR(INDEX(Requisitions!$B$2:$B$101,MATCH($E248,Requisitions!$A$2:$A$101,0)),"Unknown Req"))</f>
        <v/>
      </c>
      <c r="G248" s="25" t="str">
        <f aca="false">IF($E248="","",IFERROR(INDEX(Requisitions!$D$2:$D$101,MATCH($E248,Requisitions!$A$2:$A$101,0)),""))</f>
        <v/>
      </c>
      <c r="H248" s="21"/>
      <c r="I248" s="21"/>
      <c r="J248" s="22"/>
      <c r="K248" s="21"/>
      <c r="L248" s="22"/>
      <c r="M248" s="25" t="str">
        <f aca="false">IF($K248="","",IFERROR(INDEX(Lists!$D$4:$D$14,MATCH($K248,Lists!$A$4:$A$14,0)),"Check stage"))</f>
        <v/>
      </c>
      <c r="N248" s="21"/>
      <c r="O248" s="21"/>
      <c r="P248" s="26"/>
      <c r="Q248" s="26"/>
      <c r="R248" s="21"/>
      <c r="S248" s="21"/>
      <c r="T248" s="22"/>
      <c r="U248" s="22"/>
      <c r="V248" s="24" t="str">
        <f aca="false">IF(OR(N($P248)=0,$Q248=""),"",$Q248/$P248-1)</f>
        <v/>
      </c>
      <c r="W248" s="25" t="str">
        <f aca="true">IF($J248="","",IF($M248="Active",TODAY(),IF($U248&lt;&gt;"",$U248,IF($L248&lt;&gt;"",$L248,TODAY())))-$J248)</f>
        <v/>
      </c>
      <c r="X248" s="25" t="str">
        <f aca="true">IF(OR($L248="",$M248&lt;&gt;"Active"),"",TODAY()-$L248)</f>
        <v/>
      </c>
      <c r="Y248" s="25" t="str">
        <f aca="false">IF($M248&lt;&gt;"Active","",INDEX(Lists!$C$4:$C$14,MATCH($K248,Lists!$A$4:$A$14,0)))</f>
        <v/>
      </c>
      <c r="Z248" s="25" t="str">
        <f aca="false">IF($B248="","",IF($M248&lt;&gt;"Active","Closed",IF($X248="","",IF($X248&gt;$Y248,"BREACH","On Track"))))</f>
        <v/>
      </c>
      <c r="AA248" s="25" t="str">
        <f aca="false">IF($K248="","",IFERROR(INDEX(Lists!$E$4:$E$14,MATCH($K248,Lists!$A$4:$A$14,0)),""))</f>
        <v/>
      </c>
      <c r="AB248" s="27" t="str">
        <f aca="false">IF($U248&lt;&gt;"",$U248,IF(OR($T248="",$M248&lt;&gt;"Active"),"",$T248+N($R248)))</f>
        <v/>
      </c>
      <c r="AC248" s="25" t="str">
        <f aca="false">IF(OR($T248="",$J248=""),"",$T248-$J248)</f>
        <v/>
      </c>
      <c r="AD248" s="25" t="str">
        <f aca="false">IF(AND($K248="Joined",$U248&lt;&gt;"",$J248&lt;&gt;""),$U248-$J248,"")</f>
        <v/>
      </c>
      <c r="AE248" s="25" t="str">
        <f aca="false">IF($K248="","",IF(OR($K248="Rejected",$K248="Withdrawn"),IFERROR(INDEX(Lists!$B$4:$B$14,MATCH($N248,Lists!$A$4:$A$14,0)),1),IFERROR(INDEX(Lists!$B$4:$B$14,MATCH($K248,Lists!$A$4:$A$14,0)),0)))</f>
        <v/>
      </c>
    </row>
    <row r="249" customFormat="false" ht="15" hidden="false" customHeight="false" outlineLevel="0" collapsed="false">
      <c r="A249" s="25" t="str">
        <f aca="false">IF($B249="","","C-"&amp;TEXT(ROW()-1,"0000"))</f>
        <v/>
      </c>
      <c r="B249" s="21"/>
      <c r="C249" s="21"/>
      <c r="D249" s="21"/>
      <c r="E249" s="21"/>
      <c r="F249" s="25" t="str">
        <f aca="false">IF($E249="","",IFERROR(INDEX(Requisitions!$B$2:$B$101,MATCH($E249,Requisitions!$A$2:$A$101,0)),"Unknown Req"))</f>
        <v/>
      </c>
      <c r="G249" s="25" t="str">
        <f aca="false">IF($E249="","",IFERROR(INDEX(Requisitions!$D$2:$D$101,MATCH($E249,Requisitions!$A$2:$A$101,0)),""))</f>
        <v/>
      </c>
      <c r="H249" s="21"/>
      <c r="I249" s="21"/>
      <c r="J249" s="22"/>
      <c r="K249" s="21"/>
      <c r="L249" s="22"/>
      <c r="M249" s="25" t="str">
        <f aca="false">IF($K249="","",IFERROR(INDEX(Lists!$D$4:$D$14,MATCH($K249,Lists!$A$4:$A$14,0)),"Check stage"))</f>
        <v/>
      </c>
      <c r="N249" s="21"/>
      <c r="O249" s="21"/>
      <c r="P249" s="26"/>
      <c r="Q249" s="26"/>
      <c r="R249" s="21"/>
      <c r="S249" s="21"/>
      <c r="T249" s="22"/>
      <c r="U249" s="22"/>
      <c r="V249" s="24" t="str">
        <f aca="false">IF(OR(N($P249)=0,$Q249=""),"",$Q249/$P249-1)</f>
        <v/>
      </c>
      <c r="W249" s="25" t="str">
        <f aca="true">IF($J249="","",IF($M249="Active",TODAY(),IF($U249&lt;&gt;"",$U249,IF($L249&lt;&gt;"",$L249,TODAY())))-$J249)</f>
        <v/>
      </c>
      <c r="X249" s="25" t="str">
        <f aca="true">IF(OR($L249="",$M249&lt;&gt;"Active"),"",TODAY()-$L249)</f>
        <v/>
      </c>
      <c r="Y249" s="25" t="str">
        <f aca="false">IF($M249&lt;&gt;"Active","",INDEX(Lists!$C$4:$C$14,MATCH($K249,Lists!$A$4:$A$14,0)))</f>
        <v/>
      </c>
      <c r="Z249" s="25" t="str">
        <f aca="false">IF($B249="","",IF($M249&lt;&gt;"Active","Closed",IF($X249="","",IF($X249&gt;$Y249,"BREACH","On Track"))))</f>
        <v/>
      </c>
      <c r="AA249" s="25" t="str">
        <f aca="false">IF($K249="","",IFERROR(INDEX(Lists!$E$4:$E$14,MATCH($K249,Lists!$A$4:$A$14,0)),""))</f>
        <v/>
      </c>
      <c r="AB249" s="27" t="str">
        <f aca="false">IF($U249&lt;&gt;"",$U249,IF(OR($T249="",$M249&lt;&gt;"Active"),"",$T249+N($R249)))</f>
        <v/>
      </c>
      <c r="AC249" s="25" t="str">
        <f aca="false">IF(OR($T249="",$J249=""),"",$T249-$J249)</f>
        <v/>
      </c>
      <c r="AD249" s="25" t="str">
        <f aca="false">IF(AND($K249="Joined",$U249&lt;&gt;"",$J249&lt;&gt;""),$U249-$J249,"")</f>
        <v/>
      </c>
      <c r="AE249" s="25" t="str">
        <f aca="false">IF($K249="","",IF(OR($K249="Rejected",$K249="Withdrawn"),IFERROR(INDEX(Lists!$B$4:$B$14,MATCH($N249,Lists!$A$4:$A$14,0)),1),IFERROR(INDEX(Lists!$B$4:$B$14,MATCH($K249,Lists!$A$4:$A$14,0)),0)))</f>
        <v/>
      </c>
    </row>
    <row r="250" customFormat="false" ht="15" hidden="false" customHeight="false" outlineLevel="0" collapsed="false">
      <c r="A250" s="25" t="str">
        <f aca="false">IF($B250="","","C-"&amp;TEXT(ROW()-1,"0000"))</f>
        <v/>
      </c>
      <c r="B250" s="21"/>
      <c r="C250" s="21"/>
      <c r="D250" s="21"/>
      <c r="E250" s="21"/>
      <c r="F250" s="25" t="str">
        <f aca="false">IF($E250="","",IFERROR(INDEX(Requisitions!$B$2:$B$101,MATCH($E250,Requisitions!$A$2:$A$101,0)),"Unknown Req"))</f>
        <v/>
      </c>
      <c r="G250" s="25" t="str">
        <f aca="false">IF($E250="","",IFERROR(INDEX(Requisitions!$D$2:$D$101,MATCH($E250,Requisitions!$A$2:$A$101,0)),""))</f>
        <v/>
      </c>
      <c r="H250" s="21"/>
      <c r="I250" s="21"/>
      <c r="J250" s="22"/>
      <c r="K250" s="21"/>
      <c r="L250" s="22"/>
      <c r="M250" s="25" t="str">
        <f aca="false">IF($K250="","",IFERROR(INDEX(Lists!$D$4:$D$14,MATCH($K250,Lists!$A$4:$A$14,0)),"Check stage"))</f>
        <v/>
      </c>
      <c r="N250" s="21"/>
      <c r="O250" s="21"/>
      <c r="P250" s="26"/>
      <c r="Q250" s="26"/>
      <c r="R250" s="21"/>
      <c r="S250" s="21"/>
      <c r="T250" s="22"/>
      <c r="U250" s="22"/>
      <c r="V250" s="24" t="str">
        <f aca="false">IF(OR(N($P250)=0,$Q250=""),"",$Q250/$P250-1)</f>
        <v/>
      </c>
      <c r="W250" s="25" t="str">
        <f aca="true">IF($J250="","",IF($M250="Active",TODAY(),IF($U250&lt;&gt;"",$U250,IF($L250&lt;&gt;"",$L250,TODAY())))-$J250)</f>
        <v/>
      </c>
      <c r="X250" s="25" t="str">
        <f aca="true">IF(OR($L250="",$M250&lt;&gt;"Active"),"",TODAY()-$L250)</f>
        <v/>
      </c>
      <c r="Y250" s="25" t="str">
        <f aca="false">IF($M250&lt;&gt;"Active","",INDEX(Lists!$C$4:$C$14,MATCH($K250,Lists!$A$4:$A$14,0)))</f>
        <v/>
      </c>
      <c r="Z250" s="25" t="str">
        <f aca="false">IF($B250="","",IF($M250&lt;&gt;"Active","Closed",IF($X250="","",IF($X250&gt;$Y250,"BREACH","On Track"))))</f>
        <v/>
      </c>
      <c r="AA250" s="25" t="str">
        <f aca="false">IF($K250="","",IFERROR(INDEX(Lists!$E$4:$E$14,MATCH($K250,Lists!$A$4:$A$14,0)),""))</f>
        <v/>
      </c>
      <c r="AB250" s="27" t="str">
        <f aca="false">IF($U250&lt;&gt;"",$U250,IF(OR($T250="",$M250&lt;&gt;"Active"),"",$T250+N($R250)))</f>
        <v/>
      </c>
      <c r="AC250" s="25" t="str">
        <f aca="false">IF(OR($T250="",$J250=""),"",$T250-$J250)</f>
        <v/>
      </c>
      <c r="AD250" s="25" t="str">
        <f aca="false">IF(AND($K250="Joined",$U250&lt;&gt;"",$J250&lt;&gt;""),$U250-$J250,"")</f>
        <v/>
      </c>
      <c r="AE250" s="25" t="str">
        <f aca="false">IF($K250="","",IF(OR($K250="Rejected",$K250="Withdrawn"),IFERROR(INDEX(Lists!$B$4:$B$14,MATCH($N250,Lists!$A$4:$A$14,0)),1),IFERROR(INDEX(Lists!$B$4:$B$14,MATCH($K250,Lists!$A$4:$A$14,0)),0)))</f>
        <v/>
      </c>
    </row>
    <row r="251" customFormat="false" ht="15" hidden="false" customHeight="false" outlineLevel="0" collapsed="false">
      <c r="A251" s="25" t="str">
        <f aca="false">IF($B251="","","C-"&amp;TEXT(ROW()-1,"0000"))</f>
        <v/>
      </c>
      <c r="B251" s="21"/>
      <c r="C251" s="21"/>
      <c r="D251" s="21"/>
      <c r="E251" s="21"/>
      <c r="F251" s="25" t="str">
        <f aca="false">IF($E251="","",IFERROR(INDEX(Requisitions!$B$2:$B$101,MATCH($E251,Requisitions!$A$2:$A$101,0)),"Unknown Req"))</f>
        <v/>
      </c>
      <c r="G251" s="25" t="str">
        <f aca="false">IF($E251="","",IFERROR(INDEX(Requisitions!$D$2:$D$101,MATCH($E251,Requisitions!$A$2:$A$101,0)),""))</f>
        <v/>
      </c>
      <c r="H251" s="21"/>
      <c r="I251" s="21"/>
      <c r="J251" s="22"/>
      <c r="K251" s="21"/>
      <c r="L251" s="22"/>
      <c r="M251" s="25" t="str">
        <f aca="false">IF($K251="","",IFERROR(INDEX(Lists!$D$4:$D$14,MATCH($K251,Lists!$A$4:$A$14,0)),"Check stage"))</f>
        <v/>
      </c>
      <c r="N251" s="21"/>
      <c r="O251" s="21"/>
      <c r="P251" s="26"/>
      <c r="Q251" s="26"/>
      <c r="R251" s="21"/>
      <c r="S251" s="21"/>
      <c r="T251" s="22"/>
      <c r="U251" s="22"/>
      <c r="V251" s="24" t="str">
        <f aca="false">IF(OR(N($P251)=0,$Q251=""),"",$Q251/$P251-1)</f>
        <v/>
      </c>
      <c r="W251" s="25" t="str">
        <f aca="true">IF($J251="","",IF($M251="Active",TODAY(),IF($U251&lt;&gt;"",$U251,IF($L251&lt;&gt;"",$L251,TODAY())))-$J251)</f>
        <v/>
      </c>
      <c r="X251" s="25" t="str">
        <f aca="true">IF(OR($L251="",$M251&lt;&gt;"Active"),"",TODAY()-$L251)</f>
        <v/>
      </c>
      <c r="Y251" s="25" t="str">
        <f aca="false">IF($M251&lt;&gt;"Active","",INDEX(Lists!$C$4:$C$14,MATCH($K251,Lists!$A$4:$A$14,0)))</f>
        <v/>
      </c>
      <c r="Z251" s="25" t="str">
        <f aca="false">IF($B251="","",IF($M251&lt;&gt;"Active","Closed",IF($X251="","",IF($X251&gt;$Y251,"BREACH","On Track"))))</f>
        <v/>
      </c>
      <c r="AA251" s="25" t="str">
        <f aca="false">IF($K251="","",IFERROR(INDEX(Lists!$E$4:$E$14,MATCH($K251,Lists!$A$4:$A$14,0)),""))</f>
        <v/>
      </c>
      <c r="AB251" s="27" t="str">
        <f aca="false">IF($U251&lt;&gt;"",$U251,IF(OR($T251="",$M251&lt;&gt;"Active"),"",$T251+N($R251)))</f>
        <v/>
      </c>
      <c r="AC251" s="25" t="str">
        <f aca="false">IF(OR($T251="",$J251=""),"",$T251-$J251)</f>
        <v/>
      </c>
      <c r="AD251" s="25" t="str">
        <f aca="false">IF(AND($K251="Joined",$U251&lt;&gt;"",$J251&lt;&gt;""),$U251-$J251,"")</f>
        <v/>
      </c>
      <c r="AE251" s="25" t="str">
        <f aca="false">IF($K251="","",IF(OR($K251="Rejected",$K251="Withdrawn"),IFERROR(INDEX(Lists!$B$4:$B$14,MATCH($N251,Lists!$A$4:$A$14,0)),1),IFERROR(INDEX(Lists!$B$4:$B$14,MATCH($K251,Lists!$A$4:$A$14,0)),0)))</f>
        <v/>
      </c>
    </row>
    <row r="252" customFormat="false" ht="15" hidden="false" customHeight="false" outlineLevel="0" collapsed="false">
      <c r="A252" s="25" t="str">
        <f aca="false">IF($B252="","","C-"&amp;TEXT(ROW()-1,"0000"))</f>
        <v/>
      </c>
      <c r="B252" s="21"/>
      <c r="C252" s="21"/>
      <c r="D252" s="21"/>
      <c r="E252" s="21"/>
      <c r="F252" s="25" t="str">
        <f aca="false">IF($E252="","",IFERROR(INDEX(Requisitions!$B$2:$B$101,MATCH($E252,Requisitions!$A$2:$A$101,0)),"Unknown Req"))</f>
        <v/>
      </c>
      <c r="G252" s="25" t="str">
        <f aca="false">IF($E252="","",IFERROR(INDEX(Requisitions!$D$2:$D$101,MATCH($E252,Requisitions!$A$2:$A$101,0)),""))</f>
        <v/>
      </c>
      <c r="H252" s="21"/>
      <c r="I252" s="21"/>
      <c r="J252" s="22"/>
      <c r="K252" s="21"/>
      <c r="L252" s="22"/>
      <c r="M252" s="25" t="str">
        <f aca="false">IF($K252="","",IFERROR(INDEX(Lists!$D$4:$D$14,MATCH($K252,Lists!$A$4:$A$14,0)),"Check stage"))</f>
        <v/>
      </c>
      <c r="N252" s="21"/>
      <c r="O252" s="21"/>
      <c r="P252" s="26"/>
      <c r="Q252" s="26"/>
      <c r="R252" s="21"/>
      <c r="S252" s="21"/>
      <c r="T252" s="22"/>
      <c r="U252" s="22"/>
      <c r="V252" s="24" t="str">
        <f aca="false">IF(OR(N($P252)=0,$Q252=""),"",$Q252/$P252-1)</f>
        <v/>
      </c>
      <c r="W252" s="25" t="str">
        <f aca="true">IF($J252="","",IF($M252="Active",TODAY(),IF($U252&lt;&gt;"",$U252,IF($L252&lt;&gt;"",$L252,TODAY())))-$J252)</f>
        <v/>
      </c>
      <c r="X252" s="25" t="str">
        <f aca="true">IF(OR($L252="",$M252&lt;&gt;"Active"),"",TODAY()-$L252)</f>
        <v/>
      </c>
      <c r="Y252" s="25" t="str">
        <f aca="false">IF($M252&lt;&gt;"Active","",INDEX(Lists!$C$4:$C$14,MATCH($K252,Lists!$A$4:$A$14,0)))</f>
        <v/>
      </c>
      <c r="Z252" s="25" t="str">
        <f aca="false">IF($B252="","",IF($M252&lt;&gt;"Active","Closed",IF($X252="","",IF($X252&gt;$Y252,"BREACH","On Track"))))</f>
        <v/>
      </c>
      <c r="AA252" s="25" t="str">
        <f aca="false">IF($K252="","",IFERROR(INDEX(Lists!$E$4:$E$14,MATCH($K252,Lists!$A$4:$A$14,0)),""))</f>
        <v/>
      </c>
      <c r="AB252" s="27" t="str">
        <f aca="false">IF($U252&lt;&gt;"",$U252,IF(OR($T252="",$M252&lt;&gt;"Active"),"",$T252+N($R252)))</f>
        <v/>
      </c>
      <c r="AC252" s="25" t="str">
        <f aca="false">IF(OR($T252="",$J252=""),"",$T252-$J252)</f>
        <v/>
      </c>
      <c r="AD252" s="25" t="str">
        <f aca="false">IF(AND($K252="Joined",$U252&lt;&gt;"",$J252&lt;&gt;""),$U252-$J252,"")</f>
        <v/>
      </c>
      <c r="AE252" s="25" t="str">
        <f aca="false">IF($K252="","",IF(OR($K252="Rejected",$K252="Withdrawn"),IFERROR(INDEX(Lists!$B$4:$B$14,MATCH($N252,Lists!$A$4:$A$14,0)),1),IFERROR(INDEX(Lists!$B$4:$B$14,MATCH($K252,Lists!$A$4:$A$14,0)),0)))</f>
        <v/>
      </c>
    </row>
    <row r="253" customFormat="false" ht="15" hidden="false" customHeight="false" outlineLevel="0" collapsed="false">
      <c r="A253" s="25" t="str">
        <f aca="false">IF($B253="","","C-"&amp;TEXT(ROW()-1,"0000"))</f>
        <v/>
      </c>
      <c r="B253" s="21"/>
      <c r="C253" s="21"/>
      <c r="D253" s="21"/>
      <c r="E253" s="21"/>
      <c r="F253" s="25" t="str">
        <f aca="false">IF($E253="","",IFERROR(INDEX(Requisitions!$B$2:$B$101,MATCH($E253,Requisitions!$A$2:$A$101,0)),"Unknown Req"))</f>
        <v/>
      </c>
      <c r="G253" s="25" t="str">
        <f aca="false">IF($E253="","",IFERROR(INDEX(Requisitions!$D$2:$D$101,MATCH($E253,Requisitions!$A$2:$A$101,0)),""))</f>
        <v/>
      </c>
      <c r="H253" s="21"/>
      <c r="I253" s="21"/>
      <c r="J253" s="22"/>
      <c r="K253" s="21"/>
      <c r="L253" s="22"/>
      <c r="M253" s="25" t="str">
        <f aca="false">IF($K253="","",IFERROR(INDEX(Lists!$D$4:$D$14,MATCH($K253,Lists!$A$4:$A$14,0)),"Check stage"))</f>
        <v/>
      </c>
      <c r="N253" s="21"/>
      <c r="O253" s="21"/>
      <c r="P253" s="26"/>
      <c r="Q253" s="26"/>
      <c r="R253" s="21"/>
      <c r="S253" s="21"/>
      <c r="T253" s="22"/>
      <c r="U253" s="22"/>
      <c r="V253" s="24" t="str">
        <f aca="false">IF(OR(N($P253)=0,$Q253=""),"",$Q253/$P253-1)</f>
        <v/>
      </c>
      <c r="W253" s="25" t="str">
        <f aca="true">IF($J253="","",IF($M253="Active",TODAY(),IF($U253&lt;&gt;"",$U253,IF($L253&lt;&gt;"",$L253,TODAY())))-$J253)</f>
        <v/>
      </c>
      <c r="X253" s="25" t="str">
        <f aca="true">IF(OR($L253="",$M253&lt;&gt;"Active"),"",TODAY()-$L253)</f>
        <v/>
      </c>
      <c r="Y253" s="25" t="str">
        <f aca="false">IF($M253&lt;&gt;"Active","",INDEX(Lists!$C$4:$C$14,MATCH($K253,Lists!$A$4:$A$14,0)))</f>
        <v/>
      </c>
      <c r="Z253" s="25" t="str">
        <f aca="false">IF($B253="","",IF($M253&lt;&gt;"Active","Closed",IF($X253="","",IF($X253&gt;$Y253,"BREACH","On Track"))))</f>
        <v/>
      </c>
      <c r="AA253" s="25" t="str">
        <f aca="false">IF($K253="","",IFERROR(INDEX(Lists!$E$4:$E$14,MATCH($K253,Lists!$A$4:$A$14,0)),""))</f>
        <v/>
      </c>
      <c r="AB253" s="27" t="str">
        <f aca="false">IF($U253&lt;&gt;"",$U253,IF(OR($T253="",$M253&lt;&gt;"Active"),"",$T253+N($R253)))</f>
        <v/>
      </c>
      <c r="AC253" s="25" t="str">
        <f aca="false">IF(OR($T253="",$J253=""),"",$T253-$J253)</f>
        <v/>
      </c>
      <c r="AD253" s="25" t="str">
        <f aca="false">IF(AND($K253="Joined",$U253&lt;&gt;"",$J253&lt;&gt;""),$U253-$J253,"")</f>
        <v/>
      </c>
      <c r="AE253" s="25" t="str">
        <f aca="false">IF($K253="","",IF(OR($K253="Rejected",$K253="Withdrawn"),IFERROR(INDEX(Lists!$B$4:$B$14,MATCH($N253,Lists!$A$4:$A$14,0)),1),IFERROR(INDEX(Lists!$B$4:$B$14,MATCH($K253,Lists!$A$4:$A$14,0)),0)))</f>
        <v/>
      </c>
    </row>
    <row r="254" customFormat="false" ht="15" hidden="false" customHeight="false" outlineLevel="0" collapsed="false">
      <c r="A254" s="25" t="str">
        <f aca="false">IF($B254="","","C-"&amp;TEXT(ROW()-1,"0000"))</f>
        <v/>
      </c>
      <c r="B254" s="21"/>
      <c r="C254" s="21"/>
      <c r="D254" s="21"/>
      <c r="E254" s="21"/>
      <c r="F254" s="25" t="str">
        <f aca="false">IF($E254="","",IFERROR(INDEX(Requisitions!$B$2:$B$101,MATCH($E254,Requisitions!$A$2:$A$101,0)),"Unknown Req"))</f>
        <v/>
      </c>
      <c r="G254" s="25" t="str">
        <f aca="false">IF($E254="","",IFERROR(INDEX(Requisitions!$D$2:$D$101,MATCH($E254,Requisitions!$A$2:$A$101,0)),""))</f>
        <v/>
      </c>
      <c r="H254" s="21"/>
      <c r="I254" s="21"/>
      <c r="J254" s="22"/>
      <c r="K254" s="21"/>
      <c r="L254" s="22"/>
      <c r="M254" s="25" t="str">
        <f aca="false">IF($K254="","",IFERROR(INDEX(Lists!$D$4:$D$14,MATCH($K254,Lists!$A$4:$A$14,0)),"Check stage"))</f>
        <v/>
      </c>
      <c r="N254" s="21"/>
      <c r="O254" s="21"/>
      <c r="P254" s="26"/>
      <c r="Q254" s="26"/>
      <c r="R254" s="21"/>
      <c r="S254" s="21"/>
      <c r="T254" s="22"/>
      <c r="U254" s="22"/>
      <c r="V254" s="24" t="str">
        <f aca="false">IF(OR(N($P254)=0,$Q254=""),"",$Q254/$P254-1)</f>
        <v/>
      </c>
      <c r="W254" s="25" t="str">
        <f aca="true">IF($J254="","",IF($M254="Active",TODAY(),IF($U254&lt;&gt;"",$U254,IF($L254&lt;&gt;"",$L254,TODAY())))-$J254)</f>
        <v/>
      </c>
      <c r="X254" s="25" t="str">
        <f aca="true">IF(OR($L254="",$M254&lt;&gt;"Active"),"",TODAY()-$L254)</f>
        <v/>
      </c>
      <c r="Y254" s="25" t="str">
        <f aca="false">IF($M254&lt;&gt;"Active","",INDEX(Lists!$C$4:$C$14,MATCH($K254,Lists!$A$4:$A$14,0)))</f>
        <v/>
      </c>
      <c r="Z254" s="25" t="str">
        <f aca="false">IF($B254="","",IF($M254&lt;&gt;"Active","Closed",IF($X254="","",IF($X254&gt;$Y254,"BREACH","On Track"))))</f>
        <v/>
      </c>
      <c r="AA254" s="25" t="str">
        <f aca="false">IF($K254="","",IFERROR(INDEX(Lists!$E$4:$E$14,MATCH($K254,Lists!$A$4:$A$14,0)),""))</f>
        <v/>
      </c>
      <c r="AB254" s="27" t="str">
        <f aca="false">IF($U254&lt;&gt;"",$U254,IF(OR($T254="",$M254&lt;&gt;"Active"),"",$T254+N($R254)))</f>
        <v/>
      </c>
      <c r="AC254" s="25" t="str">
        <f aca="false">IF(OR($T254="",$J254=""),"",$T254-$J254)</f>
        <v/>
      </c>
      <c r="AD254" s="25" t="str">
        <f aca="false">IF(AND($K254="Joined",$U254&lt;&gt;"",$J254&lt;&gt;""),$U254-$J254,"")</f>
        <v/>
      </c>
      <c r="AE254" s="25" t="str">
        <f aca="false">IF($K254="","",IF(OR($K254="Rejected",$K254="Withdrawn"),IFERROR(INDEX(Lists!$B$4:$B$14,MATCH($N254,Lists!$A$4:$A$14,0)),1),IFERROR(INDEX(Lists!$B$4:$B$14,MATCH($K254,Lists!$A$4:$A$14,0)),0)))</f>
        <v/>
      </c>
    </row>
    <row r="255" customFormat="false" ht="15" hidden="false" customHeight="false" outlineLevel="0" collapsed="false">
      <c r="A255" s="25" t="str">
        <f aca="false">IF($B255="","","C-"&amp;TEXT(ROW()-1,"0000"))</f>
        <v/>
      </c>
      <c r="B255" s="21"/>
      <c r="C255" s="21"/>
      <c r="D255" s="21"/>
      <c r="E255" s="21"/>
      <c r="F255" s="25" t="str">
        <f aca="false">IF($E255="","",IFERROR(INDEX(Requisitions!$B$2:$B$101,MATCH($E255,Requisitions!$A$2:$A$101,0)),"Unknown Req"))</f>
        <v/>
      </c>
      <c r="G255" s="25" t="str">
        <f aca="false">IF($E255="","",IFERROR(INDEX(Requisitions!$D$2:$D$101,MATCH($E255,Requisitions!$A$2:$A$101,0)),""))</f>
        <v/>
      </c>
      <c r="H255" s="21"/>
      <c r="I255" s="21"/>
      <c r="J255" s="22"/>
      <c r="K255" s="21"/>
      <c r="L255" s="22"/>
      <c r="M255" s="25" t="str">
        <f aca="false">IF($K255="","",IFERROR(INDEX(Lists!$D$4:$D$14,MATCH($K255,Lists!$A$4:$A$14,0)),"Check stage"))</f>
        <v/>
      </c>
      <c r="N255" s="21"/>
      <c r="O255" s="21"/>
      <c r="P255" s="26"/>
      <c r="Q255" s="26"/>
      <c r="R255" s="21"/>
      <c r="S255" s="21"/>
      <c r="T255" s="22"/>
      <c r="U255" s="22"/>
      <c r="V255" s="24" t="str">
        <f aca="false">IF(OR(N($P255)=0,$Q255=""),"",$Q255/$P255-1)</f>
        <v/>
      </c>
      <c r="W255" s="25" t="str">
        <f aca="true">IF($J255="","",IF($M255="Active",TODAY(),IF($U255&lt;&gt;"",$U255,IF($L255&lt;&gt;"",$L255,TODAY())))-$J255)</f>
        <v/>
      </c>
      <c r="X255" s="25" t="str">
        <f aca="true">IF(OR($L255="",$M255&lt;&gt;"Active"),"",TODAY()-$L255)</f>
        <v/>
      </c>
      <c r="Y255" s="25" t="str">
        <f aca="false">IF($M255&lt;&gt;"Active","",INDEX(Lists!$C$4:$C$14,MATCH($K255,Lists!$A$4:$A$14,0)))</f>
        <v/>
      </c>
      <c r="Z255" s="25" t="str">
        <f aca="false">IF($B255="","",IF($M255&lt;&gt;"Active","Closed",IF($X255="","",IF($X255&gt;$Y255,"BREACH","On Track"))))</f>
        <v/>
      </c>
      <c r="AA255" s="25" t="str">
        <f aca="false">IF($K255="","",IFERROR(INDEX(Lists!$E$4:$E$14,MATCH($K255,Lists!$A$4:$A$14,0)),""))</f>
        <v/>
      </c>
      <c r="AB255" s="27" t="str">
        <f aca="false">IF($U255&lt;&gt;"",$U255,IF(OR($T255="",$M255&lt;&gt;"Active"),"",$T255+N($R255)))</f>
        <v/>
      </c>
      <c r="AC255" s="25" t="str">
        <f aca="false">IF(OR($T255="",$J255=""),"",$T255-$J255)</f>
        <v/>
      </c>
      <c r="AD255" s="25" t="str">
        <f aca="false">IF(AND($K255="Joined",$U255&lt;&gt;"",$J255&lt;&gt;""),$U255-$J255,"")</f>
        <v/>
      </c>
      <c r="AE255" s="25" t="str">
        <f aca="false">IF($K255="","",IF(OR($K255="Rejected",$K255="Withdrawn"),IFERROR(INDEX(Lists!$B$4:$B$14,MATCH($N255,Lists!$A$4:$A$14,0)),1),IFERROR(INDEX(Lists!$B$4:$B$14,MATCH($K255,Lists!$A$4:$A$14,0)),0)))</f>
        <v/>
      </c>
    </row>
    <row r="256" customFormat="false" ht="15" hidden="false" customHeight="false" outlineLevel="0" collapsed="false">
      <c r="A256" s="25" t="str">
        <f aca="false">IF($B256="","","C-"&amp;TEXT(ROW()-1,"0000"))</f>
        <v/>
      </c>
      <c r="B256" s="21"/>
      <c r="C256" s="21"/>
      <c r="D256" s="21"/>
      <c r="E256" s="21"/>
      <c r="F256" s="25" t="str">
        <f aca="false">IF($E256="","",IFERROR(INDEX(Requisitions!$B$2:$B$101,MATCH($E256,Requisitions!$A$2:$A$101,0)),"Unknown Req"))</f>
        <v/>
      </c>
      <c r="G256" s="25" t="str">
        <f aca="false">IF($E256="","",IFERROR(INDEX(Requisitions!$D$2:$D$101,MATCH($E256,Requisitions!$A$2:$A$101,0)),""))</f>
        <v/>
      </c>
      <c r="H256" s="21"/>
      <c r="I256" s="21"/>
      <c r="J256" s="22"/>
      <c r="K256" s="21"/>
      <c r="L256" s="22"/>
      <c r="M256" s="25" t="str">
        <f aca="false">IF($K256="","",IFERROR(INDEX(Lists!$D$4:$D$14,MATCH($K256,Lists!$A$4:$A$14,0)),"Check stage"))</f>
        <v/>
      </c>
      <c r="N256" s="21"/>
      <c r="O256" s="21"/>
      <c r="P256" s="26"/>
      <c r="Q256" s="26"/>
      <c r="R256" s="21"/>
      <c r="S256" s="21"/>
      <c r="T256" s="22"/>
      <c r="U256" s="22"/>
      <c r="V256" s="24" t="str">
        <f aca="false">IF(OR(N($P256)=0,$Q256=""),"",$Q256/$P256-1)</f>
        <v/>
      </c>
      <c r="W256" s="25" t="str">
        <f aca="true">IF($J256="","",IF($M256="Active",TODAY(),IF($U256&lt;&gt;"",$U256,IF($L256&lt;&gt;"",$L256,TODAY())))-$J256)</f>
        <v/>
      </c>
      <c r="X256" s="25" t="str">
        <f aca="true">IF(OR($L256="",$M256&lt;&gt;"Active"),"",TODAY()-$L256)</f>
        <v/>
      </c>
      <c r="Y256" s="25" t="str">
        <f aca="false">IF($M256&lt;&gt;"Active","",INDEX(Lists!$C$4:$C$14,MATCH($K256,Lists!$A$4:$A$14,0)))</f>
        <v/>
      </c>
      <c r="Z256" s="25" t="str">
        <f aca="false">IF($B256="","",IF($M256&lt;&gt;"Active","Closed",IF($X256="","",IF($X256&gt;$Y256,"BREACH","On Track"))))</f>
        <v/>
      </c>
      <c r="AA256" s="25" t="str">
        <f aca="false">IF($K256="","",IFERROR(INDEX(Lists!$E$4:$E$14,MATCH($K256,Lists!$A$4:$A$14,0)),""))</f>
        <v/>
      </c>
      <c r="AB256" s="27" t="str">
        <f aca="false">IF($U256&lt;&gt;"",$U256,IF(OR($T256="",$M256&lt;&gt;"Active"),"",$T256+N($R256)))</f>
        <v/>
      </c>
      <c r="AC256" s="25" t="str">
        <f aca="false">IF(OR($T256="",$J256=""),"",$T256-$J256)</f>
        <v/>
      </c>
      <c r="AD256" s="25" t="str">
        <f aca="false">IF(AND($K256="Joined",$U256&lt;&gt;"",$J256&lt;&gt;""),$U256-$J256,"")</f>
        <v/>
      </c>
      <c r="AE256" s="25" t="str">
        <f aca="false">IF($K256="","",IF(OR($K256="Rejected",$K256="Withdrawn"),IFERROR(INDEX(Lists!$B$4:$B$14,MATCH($N256,Lists!$A$4:$A$14,0)),1),IFERROR(INDEX(Lists!$B$4:$B$14,MATCH($K256,Lists!$A$4:$A$14,0)),0)))</f>
        <v/>
      </c>
    </row>
    <row r="257" customFormat="false" ht="15" hidden="false" customHeight="false" outlineLevel="0" collapsed="false">
      <c r="A257" s="25" t="str">
        <f aca="false">IF($B257="","","C-"&amp;TEXT(ROW()-1,"0000"))</f>
        <v/>
      </c>
      <c r="B257" s="21"/>
      <c r="C257" s="21"/>
      <c r="D257" s="21"/>
      <c r="E257" s="21"/>
      <c r="F257" s="25" t="str">
        <f aca="false">IF($E257="","",IFERROR(INDEX(Requisitions!$B$2:$B$101,MATCH($E257,Requisitions!$A$2:$A$101,0)),"Unknown Req"))</f>
        <v/>
      </c>
      <c r="G257" s="25" t="str">
        <f aca="false">IF($E257="","",IFERROR(INDEX(Requisitions!$D$2:$D$101,MATCH($E257,Requisitions!$A$2:$A$101,0)),""))</f>
        <v/>
      </c>
      <c r="H257" s="21"/>
      <c r="I257" s="21"/>
      <c r="J257" s="22"/>
      <c r="K257" s="21"/>
      <c r="L257" s="22"/>
      <c r="M257" s="25" t="str">
        <f aca="false">IF($K257="","",IFERROR(INDEX(Lists!$D$4:$D$14,MATCH($K257,Lists!$A$4:$A$14,0)),"Check stage"))</f>
        <v/>
      </c>
      <c r="N257" s="21"/>
      <c r="O257" s="21"/>
      <c r="P257" s="26"/>
      <c r="Q257" s="26"/>
      <c r="R257" s="21"/>
      <c r="S257" s="21"/>
      <c r="T257" s="22"/>
      <c r="U257" s="22"/>
      <c r="V257" s="24" t="str">
        <f aca="false">IF(OR(N($P257)=0,$Q257=""),"",$Q257/$P257-1)</f>
        <v/>
      </c>
      <c r="W257" s="25" t="str">
        <f aca="true">IF($J257="","",IF($M257="Active",TODAY(),IF($U257&lt;&gt;"",$U257,IF($L257&lt;&gt;"",$L257,TODAY())))-$J257)</f>
        <v/>
      </c>
      <c r="X257" s="25" t="str">
        <f aca="true">IF(OR($L257="",$M257&lt;&gt;"Active"),"",TODAY()-$L257)</f>
        <v/>
      </c>
      <c r="Y257" s="25" t="str">
        <f aca="false">IF($M257&lt;&gt;"Active","",INDEX(Lists!$C$4:$C$14,MATCH($K257,Lists!$A$4:$A$14,0)))</f>
        <v/>
      </c>
      <c r="Z257" s="25" t="str">
        <f aca="false">IF($B257="","",IF($M257&lt;&gt;"Active","Closed",IF($X257="","",IF($X257&gt;$Y257,"BREACH","On Track"))))</f>
        <v/>
      </c>
      <c r="AA257" s="25" t="str">
        <f aca="false">IF($K257="","",IFERROR(INDEX(Lists!$E$4:$E$14,MATCH($K257,Lists!$A$4:$A$14,0)),""))</f>
        <v/>
      </c>
      <c r="AB257" s="27" t="str">
        <f aca="false">IF($U257&lt;&gt;"",$U257,IF(OR($T257="",$M257&lt;&gt;"Active"),"",$T257+N($R257)))</f>
        <v/>
      </c>
      <c r="AC257" s="25" t="str">
        <f aca="false">IF(OR($T257="",$J257=""),"",$T257-$J257)</f>
        <v/>
      </c>
      <c r="AD257" s="25" t="str">
        <f aca="false">IF(AND($K257="Joined",$U257&lt;&gt;"",$J257&lt;&gt;""),$U257-$J257,"")</f>
        <v/>
      </c>
      <c r="AE257" s="25" t="str">
        <f aca="false">IF($K257="","",IF(OR($K257="Rejected",$K257="Withdrawn"),IFERROR(INDEX(Lists!$B$4:$B$14,MATCH($N257,Lists!$A$4:$A$14,0)),1),IFERROR(INDEX(Lists!$B$4:$B$14,MATCH($K257,Lists!$A$4:$A$14,0)),0)))</f>
        <v/>
      </c>
    </row>
    <row r="258" customFormat="false" ht="15" hidden="false" customHeight="false" outlineLevel="0" collapsed="false">
      <c r="A258" s="25" t="str">
        <f aca="false">IF($B258="","","C-"&amp;TEXT(ROW()-1,"0000"))</f>
        <v/>
      </c>
      <c r="B258" s="21"/>
      <c r="C258" s="21"/>
      <c r="D258" s="21"/>
      <c r="E258" s="21"/>
      <c r="F258" s="25" t="str">
        <f aca="false">IF($E258="","",IFERROR(INDEX(Requisitions!$B$2:$B$101,MATCH($E258,Requisitions!$A$2:$A$101,0)),"Unknown Req"))</f>
        <v/>
      </c>
      <c r="G258" s="25" t="str">
        <f aca="false">IF($E258="","",IFERROR(INDEX(Requisitions!$D$2:$D$101,MATCH($E258,Requisitions!$A$2:$A$101,0)),""))</f>
        <v/>
      </c>
      <c r="H258" s="21"/>
      <c r="I258" s="21"/>
      <c r="J258" s="22"/>
      <c r="K258" s="21"/>
      <c r="L258" s="22"/>
      <c r="M258" s="25" t="str">
        <f aca="false">IF($K258="","",IFERROR(INDEX(Lists!$D$4:$D$14,MATCH($K258,Lists!$A$4:$A$14,0)),"Check stage"))</f>
        <v/>
      </c>
      <c r="N258" s="21"/>
      <c r="O258" s="21"/>
      <c r="P258" s="26"/>
      <c r="Q258" s="26"/>
      <c r="R258" s="21"/>
      <c r="S258" s="21"/>
      <c r="T258" s="22"/>
      <c r="U258" s="22"/>
      <c r="V258" s="24" t="str">
        <f aca="false">IF(OR(N($P258)=0,$Q258=""),"",$Q258/$P258-1)</f>
        <v/>
      </c>
      <c r="W258" s="25" t="str">
        <f aca="true">IF($J258="","",IF($M258="Active",TODAY(),IF($U258&lt;&gt;"",$U258,IF($L258&lt;&gt;"",$L258,TODAY())))-$J258)</f>
        <v/>
      </c>
      <c r="X258" s="25" t="str">
        <f aca="true">IF(OR($L258="",$M258&lt;&gt;"Active"),"",TODAY()-$L258)</f>
        <v/>
      </c>
      <c r="Y258" s="25" t="str">
        <f aca="false">IF($M258&lt;&gt;"Active","",INDEX(Lists!$C$4:$C$14,MATCH($K258,Lists!$A$4:$A$14,0)))</f>
        <v/>
      </c>
      <c r="Z258" s="25" t="str">
        <f aca="false">IF($B258="","",IF($M258&lt;&gt;"Active","Closed",IF($X258="","",IF($X258&gt;$Y258,"BREACH","On Track"))))</f>
        <v/>
      </c>
      <c r="AA258" s="25" t="str">
        <f aca="false">IF($K258="","",IFERROR(INDEX(Lists!$E$4:$E$14,MATCH($K258,Lists!$A$4:$A$14,0)),""))</f>
        <v/>
      </c>
      <c r="AB258" s="27" t="str">
        <f aca="false">IF($U258&lt;&gt;"",$U258,IF(OR($T258="",$M258&lt;&gt;"Active"),"",$T258+N($R258)))</f>
        <v/>
      </c>
      <c r="AC258" s="25" t="str">
        <f aca="false">IF(OR($T258="",$J258=""),"",$T258-$J258)</f>
        <v/>
      </c>
      <c r="AD258" s="25" t="str">
        <f aca="false">IF(AND($K258="Joined",$U258&lt;&gt;"",$J258&lt;&gt;""),$U258-$J258,"")</f>
        <v/>
      </c>
      <c r="AE258" s="25" t="str">
        <f aca="false">IF($K258="","",IF(OR($K258="Rejected",$K258="Withdrawn"),IFERROR(INDEX(Lists!$B$4:$B$14,MATCH($N258,Lists!$A$4:$A$14,0)),1),IFERROR(INDEX(Lists!$B$4:$B$14,MATCH($K258,Lists!$A$4:$A$14,0)),0)))</f>
        <v/>
      </c>
    </row>
    <row r="259" customFormat="false" ht="15" hidden="false" customHeight="false" outlineLevel="0" collapsed="false">
      <c r="A259" s="25" t="str">
        <f aca="false">IF($B259="","","C-"&amp;TEXT(ROW()-1,"0000"))</f>
        <v/>
      </c>
      <c r="B259" s="21"/>
      <c r="C259" s="21"/>
      <c r="D259" s="21"/>
      <c r="E259" s="21"/>
      <c r="F259" s="25" t="str">
        <f aca="false">IF($E259="","",IFERROR(INDEX(Requisitions!$B$2:$B$101,MATCH($E259,Requisitions!$A$2:$A$101,0)),"Unknown Req"))</f>
        <v/>
      </c>
      <c r="G259" s="25" t="str">
        <f aca="false">IF($E259="","",IFERROR(INDEX(Requisitions!$D$2:$D$101,MATCH($E259,Requisitions!$A$2:$A$101,0)),""))</f>
        <v/>
      </c>
      <c r="H259" s="21"/>
      <c r="I259" s="21"/>
      <c r="J259" s="22"/>
      <c r="K259" s="21"/>
      <c r="L259" s="22"/>
      <c r="M259" s="25" t="str">
        <f aca="false">IF($K259="","",IFERROR(INDEX(Lists!$D$4:$D$14,MATCH($K259,Lists!$A$4:$A$14,0)),"Check stage"))</f>
        <v/>
      </c>
      <c r="N259" s="21"/>
      <c r="O259" s="21"/>
      <c r="P259" s="26"/>
      <c r="Q259" s="26"/>
      <c r="R259" s="21"/>
      <c r="S259" s="21"/>
      <c r="T259" s="22"/>
      <c r="U259" s="22"/>
      <c r="V259" s="24" t="str">
        <f aca="false">IF(OR(N($P259)=0,$Q259=""),"",$Q259/$P259-1)</f>
        <v/>
      </c>
      <c r="W259" s="25" t="str">
        <f aca="true">IF($J259="","",IF($M259="Active",TODAY(),IF($U259&lt;&gt;"",$U259,IF($L259&lt;&gt;"",$L259,TODAY())))-$J259)</f>
        <v/>
      </c>
      <c r="X259" s="25" t="str">
        <f aca="true">IF(OR($L259="",$M259&lt;&gt;"Active"),"",TODAY()-$L259)</f>
        <v/>
      </c>
      <c r="Y259" s="25" t="str">
        <f aca="false">IF($M259&lt;&gt;"Active","",INDEX(Lists!$C$4:$C$14,MATCH($K259,Lists!$A$4:$A$14,0)))</f>
        <v/>
      </c>
      <c r="Z259" s="25" t="str">
        <f aca="false">IF($B259="","",IF($M259&lt;&gt;"Active","Closed",IF($X259="","",IF($X259&gt;$Y259,"BREACH","On Track"))))</f>
        <v/>
      </c>
      <c r="AA259" s="25" t="str">
        <f aca="false">IF($K259="","",IFERROR(INDEX(Lists!$E$4:$E$14,MATCH($K259,Lists!$A$4:$A$14,0)),""))</f>
        <v/>
      </c>
      <c r="AB259" s="27" t="str">
        <f aca="false">IF($U259&lt;&gt;"",$U259,IF(OR($T259="",$M259&lt;&gt;"Active"),"",$T259+N($R259)))</f>
        <v/>
      </c>
      <c r="AC259" s="25" t="str">
        <f aca="false">IF(OR($T259="",$J259=""),"",$T259-$J259)</f>
        <v/>
      </c>
      <c r="AD259" s="25" t="str">
        <f aca="false">IF(AND($K259="Joined",$U259&lt;&gt;"",$J259&lt;&gt;""),$U259-$J259,"")</f>
        <v/>
      </c>
      <c r="AE259" s="25" t="str">
        <f aca="false">IF($K259="","",IF(OR($K259="Rejected",$K259="Withdrawn"),IFERROR(INDEX(Lists!$B$4:$B$14,MATCH($N259,Lists!$A$4:$A$14,0)),1),IFERROR(INDEX(Lists!$B$4:$B$14,MATCH($K259,Lists!$A$4:$A$14,0)),0)))</f>
        <v/>
      </c>
    </row>
    <row r="260" customFormat="false" ht="15" hidden="false" customHeight="false" outlineLevel="0" collapsed="false">
      <c r="A260" s="25" t="str">
        <f aca="false">IF($B260="","","C-"&amp;TEXT(ROW()-1,"0000"))</f>
        <v/>
      </c>
      <c r="B260" s="21"/>
      <c r="C260" s="21"/>
      <c r="D260" s="21"/>
      <c r="E260" s="21"/>
      <c r="F260" s="25" t="str">
        <f aca="false">IF($E260="","",IFERROR(INDEX(Requisitions!$B$2:$B$101,MATCH($E260,Requisitions!$A$2:$A$101,0)),"Unknown Req"))</f>
        <v/>
      </c>
      <c r="G260" s="25" t="str">
        <f aca="false">IF($E260="","",IFERROR(INDEX(Requisitions!$D$2:$D$101,MATCH($E260,Requisitions!$A$2:$A$101,0)),""))</f>
        <v/>
      </c>
      <c r="H260" s="21"/>
      <c r="I260" s="21"/>
      <c r="J260" s="22"/>
      <c r="K260" s="21"/>
      <c r="L260" s="22"/>
      <c r="M260" s="25" t="str">
        <f aca="false">IF($K260="","",IFERROR(INDEX(Lists!$D$4:$D$14,MATCH($K260,Lists!$A$4:$A$14,0)),"Check stage"))</f>
        <v/>
      </c>
      <c r="N260" s="21"/>
      <c r="O260" s="21"/>
      <c r="P260" s="26"/>
      <c r="Q260" s="26"/>
      <c r="R260" s="21"/>
      <c r="S260" s="21"/>
      <c r="T260" s="22"/>
      <c r="U260" s="22"/>
      <c r="V260" s="24" t="str">
        <f aca="false">IF(OR(N($P260)=0,$Q260=""),"",$Q260/$P260-1)</f>
        <v/>
      </c>
      <c r="W260" s="25" t="str">
        <f aca="true">IF($J260="","",IF($M260="Active",TODAY(),IF($U260&lt;&gt;"",$U260,IF($L260&lt;&gt;"",$L260,TODAY())))-$J260)</f>
        <v/>
      </c>
      <c r="X260" s="25" t="str">
        <f aca="true">IF(OR($L260="",$M260&lt;&gt;"Active"),"",TODAY()-$L260)</f>
        <v/>
      </c>
      <c r="Y260" s="25" t="str">
        <f aca="false">IF($M260&lt;&gt;"Active","",INDEX(Lists!$C$4:$C$14,MATCH($K260,Lists!$A$4:$A$14,0)))</f>
        <v/>
      </c>
      <c r="Z260" s="25" t="str">
        <f aca="false">IF($B260="","",IF($M260&lt;&gt;"Active","Closed",IF($X260="","",IF($X260&gt;$Y260,"BREACH","On Track"))))</f>
        <v/>
      </c>
      <c r="AA260" s="25" t="str">
        <f aca="false">IF($K260="","",IFERROR(INDEX(Lists!$E$4:$E$14,MATCH($K260,Lists!$A$4:$A$14,0)),""))</f>
        <v/>
      </c>
      <c r="AB260" s="27" t="str">
        <f aca="false">IF($U260&lt;&gt;"",$U260,IF(OR($T260="",$M260&lt;&gt;"Active"),"",$T260+N($R260)))</f>
        <v/>
      </c>
      <c r="AC260" s="25" t="str">
        <f aca="false">IF(OR($T260="",$J260=""),"",$T260-$J260)</f>
        <v/>
      </c>
      <c r="AD260" s="25" t="str">
        <f aca="false">IF(AND($K260="Joined",$U260&lt;&gt;"",$J260&lt;&gt;""),$U260-$J260,"")</f>
        <v/>
      </c>
      <c r="AE260" s="25" t="str">
        <f aca="false">IF($K260="","",IF(OR($K260="Rejected",$K260="Withdrawn"),IFERROR(INDEX(Lists!$B$4:$B$14,MATCH($N260,Lists!$A$4:$A$14,0)),1),IFERROR(INDEX(Lists!$B$4:$B$14,MATCH($K260,Lists!$A$4:$A$14,0)),0)))</f>
        <v/>
      </c>
    </row>
    <row r="261" customFormat="false" ht="15" hidden="false" customHeight="false" outlineLevel="0" collapsed="false">
      <c r="A261" s="25" t="str">
        <f aca="false">IF($B261="","","C-"&amp;TEXT(ROW()-1,"0000"))</f>
        <v/>
      </c>
      <c r="B261" s="21"/>
      <c r="C261" s="21"/>
      <c r="D261" s="21"/>
      <c r="E261" s="21"/>
      <c r="F261" s="25" t="str">
        <f aca="false">IF($E261="","",IFERROR(INDEX(Requisitions!$B$2:$B$101,MATCH($E261,Requisitions!$A$2:$A$101,0)),"Unknown Req"))</f>
        <v/>
      </c>
      <c r="G261" s="25" t="str">
        <f aca="false">IF($E261="","",IFERROR(INDEX(Requisitions!$D$2:$D$101,MATCH($E261,Requisitions!$A$2:$A$101,0)),""))</f>
        <v/>
      </c>
      <c r="H261" s="21"/>
      <c r="I261" s="21"/>
      <c r="J261" s="22"/>
      <c r="K261" s="21"/>
      <c r="L261" s="22"/>
      <c r="M261" s="25" t="str">
        <f aca="false">IF($K261="","",IFERROR(INDEX(Lists!$D$4:$D$14,MATCH($K261,Lists!$A$4:$A$14,0)),"Check stage"))</f>
        <v/>
      </c>
      <c r="N261" s="21"/>
      <c r="O261" s="21"/>
      <c r="P261" s="26"/>
      <c r="Q261" s="26"/>
      <c r="R261" s="21"/>
      <c r="S261" s="21"/>
      <c r="T261" s="22"/>
      <c r="U261" s="22"/>
      <c r="V261" s="24" t="str">
        <f aca="false">IF(OR(N($P261)=0,$Q261=""),"",$Q261/$P261-1)</f>
        <v/>
      </c>
      <c r="W261" s="25" t="str">
        <f aca="true">IF($J261="","",IF($M261="Active",TODAY(),IF($U261&lt;&gt;"",$U261,IF($L261&lt;&gt;"",$L261,TODAY())))-$J261)</f>
        <v/>
      </c>
      <c r="X261" s="25" t="str">
        <f aca="true">IF(OR($L261="",$M261&lt;&gt;"Active"),"",TODAY()-$L261)</f>
        <v/>
      </c>
      <c r="Y261" s="25" t="str">
        <f aca="false">IF($M261&lt;&gt;"Active","",INDEX(Lists!$C$4:$C$14,MATCH($K261,Lists!$A$4:$A$14,0)))</f>
        <v/>
      </c>
      <c r="Z261" s="25" t="str">
        <f aca="false">IF($B261="","",IF($M261&lt;&gt;"Active","Closed",IF($X261="","",IF($X261&gt;$Y261,"BREACH","On Track"))))</f>
        <v/>
      </c>
      <c r="AA261" s="25" t="str">
        <f aca="false">IF($K261="","",IFERROR(INDEX(Lists!$E$4:$E$14,MATCH($K261,Lists!$A$4:$A$14,0)),""))</f>
        <v/>
      </c>
      <c r="AB261" s="27" t="str">
        <f aca="false">IF($U261&lt;&gt;"",$U261,IF(OR($T261="",$M261&lt;&gt;"Active"),"",$T261+N($R261)))</f>
        <v/>
      </c>
      <c r="AC261" s="25" t="str">
        <f aca="false">IF(OR($T261="",$J261=""),"",$T261-$J261)</f>
        <v/>
      </c>
      <c r="AD261" s="25" t="str">
        <f aca="false">IF(AND($K261="Joined",$U261&lt;&gt;"",$J261&lt;&gt;""),$U261-$J261,"")</f>
        <v/>
      </c>
      <c r="AE261" s="25" t="str">
        <f aca="false">IF($K261="","",IF(OR($K261="Rejected",$K261="Withdrawn"),IFERROR(INDEX(Lists!$B$4:$B$14,MATCH($N261,Lists!$A$4:$A$14,0)),1),IFERROR(INDEX(Lists!$B$4:$B$14,MATCH($K261,Lists!$A$4:$A$14,0)),0)))</f>
        <v/>
      </c>
    </row>
    <row r="262" customFormat="false" ht="15" hidden="false" customHeight="false" outlineLevel="0" collapsed="false">
      <c r="A262" s="25" t="str">
        <f aca="false">IF($B262="","","C-"&amp;TEXT(ROW()-1,"0000"))</f>
        <v/>
      </c>
      <c r="B262" s="21"/>
      <c r="C262" s="21"/>
      <c r="D262" s="21"/>
      <c r="E262" s="21"/>
      <c r="F262" s="25" t="str">
        <f aca="false">IF($E262="","",IFERROR(INDEX(Requisitions!$B$2:$B$101,MATCH($E262,Requisitions!$A$2:$A$101,0)),"Unknown Req"))</f>
        <v/>
      </c>
      <c r="G262" s="25" t="str">
        <f aca="false">IF($E262="","",IFERROR(INDEX(Requisitions!$D$2:$D$101,MATCH($E262,Requisitions!$A$2:$A$101,0)),""))</f>
        <v/>
      </c>
      <c r="H262" s="21"/>
      <c r="I262" s="21"/>
      <c r="J262" s="22"/>
      <c r="K262" s="21"/>
      <c r="L262" s="22"/>
      <c r="M262" s="25" t="str">
        <f aca="false">IF($K262="","",IFERROR(INDEX(Lists!$D$4:$D$14,MATCH($K262,Lists!$A$4:$A$14,0)),"Check stage"))</f>
        <v/>
      </c>
      <c r="N262" s="21"/>
      <c r="O262" s="21"/>
      <c r="P262" s="26"/>
      <c r="Q262" s="26"/>
      <c r="R262" s="21"/>
      <c r="S262" s="21"/>
      <c r="T262" s="22"/>
      <c r="U262" s="22"/>
      <c r="V262" s="24" t="str">
        <f aca="false">IF(OR(N($P262)=0,$Q262=""),"",$Q262/$P262-1)</f>
        <v/>
      </c>
      <c r="W262" s="25" t="str">
        <f aca="true">IF($J262="","",IF($M262="Active",TODAY(),IF($U262&lt;&gt;"",$U262,IF($L262&lt;&gt;"",$L262,TODAY())))-$J262)</f>
        <v/>
      </c>
      <c r="X262" s="25" t="str">
        <f aca="true">IF(OR($L262="",$M262&lt;&gt;"Active"),"",TODAY()-$L262)</f>
        <v/>
      </c>
      <c r="Y262" s="25" t="str">
        <f aca="false">IF($M262&lt;&gt;"Active","",INDEX(Lists!$C$4:$C$14,MATCH($K262,Lists!$A$4:$A$14,0)))</f>
        <v/>
      </c>
      <c r="Z262" s="25" t="str">
        <f aca="false">IF($B262="","",IF($M262&lt;&gt;"Active","Closed",IF($X262="","",IF($X262&gt;$Y262,"BREACH","On Track"))))</f>
        <v/>
      </c>
      <c r="AA262" s="25" t="str">
        <f aca="false">IF($K262="","",IFERROR(INDEX(Lists!$E$4:$E$14,MATCH($K262,Lists!$A$4:$A$14,0)),""))</f>
        <v/>
      </c>
      <c r="AB262" s="27" t="str">
        <f aca="false">IF($U262&lt;&gt;"",$U262,IF(OR($T262="",$M262&lt;&gt;"Active"),"",$T262+N($R262)))</f>
        <v/>
      </c>
      <c r="AC262" s="25" t="str">
        <f aca="false">IF(OR($T262="",$J262=""),"",$T262-$J262)</f>
        <v/>
      </c>
      <c r="AD262" s="25" t="str">
        <f aca="false">IF(AND($K262="Joined",$U262&lt;&gt;"",$J262&lt;&gt;""),$U262-$J262,"")</f>
        <v/>
      </c>
      <c r="AE262" s="25" t="str">
        <f aca="false">IF($K262="","",IF(OR($K262="Rejected",$K262="Withdrawn"),IFERROR(INDEX(Lists!$B$4:$B$14,MATCH($N262,Lists!$A$4:$A$14,0)),1),IFERROR(INDEX(Lists!$B$4:$B$14,MATCH($K262,Lists!$A$4:$A$14,0)),0)))</f>
        <v/>
      </c>
    </row>
    <row r="263" customFormat="false" ht="15" hidden="false" customHeight="false" outlineLevel="0" collapsed="false">
      <c r="A263" s="25" t="str">
        <f aca="false">IF($B263="","","C-"&amp;TEXT(ROW()-1,"0000"))</f>
        <v/>
      </c>
      <c r="B263" s="21"/>
      <c r="C263" s="21"/>
      <c r="D263" s="21"/>
      <c r="E263" s="21"/>
      <c r="F263" s="25" t="str">
        <f aca="false">IF($E263="","",IFERROR(INDEX(Requisitions!$B$2:$B$101,MATCH($E263,Requisitions!$A$2:$A$101,0)),"Unknown Req"))</f>
        <v/>
      </c>
      <c r="G263" s="25" t="str">
        <f aca="false">IF($E263="","",IFERROR(INDEX(Requisitions!$D$2:$D$101,MATCH($E263,Requisitions!$A$2:$A$101,0)),""))</f>
        <v/>
      </c>
      <c r="H263" s="21"/>
      <c r="I263" s="21"/>
      <c r="J263" s="22"/>
      <c r="K263" s="21"/>
      <c r="L263" s="22"/>
      <c r="M263" s="25" t="str">
        <f aca="false">IF($K263="","",IFERROR(INDEX(Lists!$D$4:$D$14,MATCH($K263,Lists!$A$4:$A$14,0)),"Check stage"))</f>
        <v/>
      </c>
      <c r="N263" s="21"/>
      <c r="O263" s="21"/>
      <c r="P263" s="26"/>
      <c r="Q263" s="26"/>
      <c r="R263" s="21"/>
      <c r="S263" s="21"/>
      <c r="T263" s="22"/>
      <c r="U263" s="22"/>
      <c r="V263" s="24" t="str">
        <f aca="false">IF(OR(N($P263)=0,$Q263=""),"",$Q263/$P263-1)</f>
        <v/>
      </c>
      <c r="W263" s="25" t="str">
        <f aca="true">IF($J263="","",IF($M263="Active",TODAY(),IF($U263&lt;&gt;"",$U263,IF($L263&lt;&gt;"",$L263,TODAY())))-$J263)</f>
        <v/>
      </c>
      <c r="X263" s="25" t="str">
        <f aca="true">IF(OR($L263="",$M263&lt;&gt;"Active"),"",TODAY()-$L263)</f>
        <v/>
      </c>
      <c r="Y263" s="25" t="str">
        <f aca="false">IF($M263&lt;&gt;"Active","",INDEX(Lists!$C$4:$C$14,MATCH($K263,Lists!$A$4:$A$14,0)))</f>
        <v/>
      </c>
      <c r="Z263" s="25" t="str">
        <f aca="false">IF($B263="","",IF($M263&lt;&gt;"Active","Closed",IF($X263="","",IF($X263&gt;$Y263,"BREACH","On Track"))))</f>
        <v/>
      </c>
      <c r="AA263" s="25" t="str">
        <f aca="false">IF($K263="","",IFERROR(INDEX(Lists!$E$4:$E$14,MATCH($K263,Lists!$A$4:$A$14,0)),""))</f>
        <v/>
      </c>
      <c r="AB263" s="27" t="str">
        <f aca="false">IF($U263&lt;&gt;"",$U263,IF(OR($T263="",$M263&lt;&gt;"Active"),"",$T263+N($R263)))</f>
        <v/>
      </c>
      <c r="AC263" s="25" t="str">
        <f aca="false">IF(OR($T263="",$J263=""),"",$T263-$J263)</f>
        <v/>
      </c>
      <c r="AD263" s="25" t="str">
        <f aca="false">IF(AND($K263="Joined",$U263&lt;&gt;"",$J263&lt;&gt;""),$U263-$J263,"")</f>
        <v/>
      </c>
      <c r="AE263" s="25" t="str">
        <f aca="false">IF($K263="","",IF(OR($K263="Rejected",$K263="Withdrawn"),IFERROR(INDEX(Lists!$B$4:$B$14,MATCH($N263,Lists!$A$4:$A$14,0)),1),IFERROR(INDEX(Lists!$B$4:$B$14,MATCH($K263,Lists!$A$4:$A$14,0)),0)))</f>
        <v/>
      </c>
    </row>
    <row r="264" customFormat="false" ht="15" hidden="false" customHeight="false" outlineLevel="0" collapsed="false">
      <c r="A264" s="25" t="str">
        <f aca="false">IF($B264="","","C-"&amp;TEXT(ROW()-1,"0000"))</f>
        <v/>
      </c>
      <c r="B264" s="21"/>
      <c r="C264" s="21"/>
      <c r="D264" s="21"/>
      <c r="E264" s="21"/>
      <c r="F264" s="25" t="str">
        <f aca="false">IF($E264="","",IFERROR(INDEX(Requisitions!$B$2:$B$101,MATCH($E264,Requisitions!$A$2:$A$101,0)),"Unknown Req"))</f>
        <v/>
      </c>
      <c r="G264" s="25" t="str">
        <f aca="false">IF($E264="","",IFERROR(INDEX(Requisitions!$D$2:$D$101,MATCH($E264,Requisitions!$A$2:$A$101,0)),""))</f>
        <v/>
      </c>
      <c r="H264" s="21"/>
      <c r="I264" s="21"/>
      <c r="J264" s="22"/>
      <c r="K264" s="21"/>
      <c r="L264" s="22"/>
      <c r="M264" s="25" t="str">
        <f aca="false">IF($K264="","",IFERROR(INDEX(Lists!$D$4:$D$14,MATCH($K264,Lists!$A$4:$A$14,0)),"Check stage"))</f>
        <v/>
      </c>
      <c r="N264" s="21"/>
      <c r="O264" s="21"/>
      <c r="P264" s="26"/>
      <c r="Q264" s="26"/>
      <c r="R264" s="21"/>
      <c r="S264" s="21"/>
      <c r="T264" s="22"/>
      <c r="U264" s="22"/>
      <c r="V264" s="24" t="str">
        <f aca="false">IF(OR(N($P264)=0,$Q264=""),"",$Q264/$P264-1)</f>
        <v/>
      </c>
      <c r="W264" s="25" t="str">
        <f aca="true">IF($J264="","",IF($M264="Active",TODAY(),IF($U264&lt;&gt;"",$U264,IF($L264&lt;&gt;"",$L264,TODAY())))-$J264)</f>
        <v/>
      </c>
      <c r="X264" s="25" t="str">
        <f aca="true">IF(OR($L264="",$M264&lt;&gt;"Active"),"",TODAY()-$L264)</f>
        <v/>
      </c>
      <c r="Y264" s="25" t="str">
        <f aca="false">IF($M264&lt;&gt;"Active","",INDEX(Lists!$C$4:$C$14,MATCH($K264,Lists!$A$4:$A$14,0)))</f>
        <v/>
      </c>
      <c r="Z264" s="25" t="str">
        <f aca="false">IF($B264="","",IF($M264&lt;&gt;"Active","Closed",IF($X264="","",IF($X264&gt;$Y264,"BREACH","On Track"))))</f>
        <v/>
      </c>
      <c r="AA264" s="25" t="str">
        <f aca="false">IF($K264="","",IFERROR(INDEX(Lists!$E$4:$E$14,MATCH($K264,Lists!$A$4:$A$14,0)),""))</f>
        <v/>
      </c>
      <c r="AB264" s="27" t="str">
        <f aca="false">IF($U264&lt;&gt;"",$U264,IF(OR($T264="",$M264&lt;&gt;"Active"),"",$T264+N($R264)))</f>
        <v/>
      </c>
      <c r="AC264" s="25" t="str">
        <f aca="false">IF(OR($T264="",$J264=""),"",$T264-$J264)</f>
        <v/>
      </c>
      <c r="AD264" s="25" t="str">
        <f aca="false">IF(AND($K264="Joined",$U264&lt;&gt;"",$J264&lt;&gt;""),$U264-$J264,"")</f>
        <v/>
      </c>
      <c r="AE264" s="25" t="str">
        <f aca="false">IF($K264="","",IF(OR($K264="Rejected",$K264="Withdrawn"),IFERROR(INDEX(Lists!$B$4:$B$14,MATCH($N264,Lists!$A$4:$A$14,0)),1),IFERROR(INDEX(Lists!$B$4:$B$14,MATCH($K264,Lists!$A$4:$A$14,0)),0)))</f>
        <v/>
      </c>
    </row>
    <row r="265" customFormat="false" ht="15" hidden="false" customHeight="false" outlineLevel="0" collapsed="false">
      <c r="A265" s="25" t="str">
        <f aca="false">IF($B265="","","C-"&amp;TEXT(ROW()-1,"0000"))</f>
        <v/>
      </c>
      <c r="B265" s="21"/>
      <c r="C265" s="21"/>
      <c r="D265" s="21"/>
      <c r="E265" s="21"/>
      <c r="F265" s="25" t="str">
        <f aca="false">IF($E265="","",IFERROR(INDEX(Requisitions!$B$2:$B$101,MATCH($E265,Requisitions!$A$2:$A$101,0)),"Unknown Req"))</f>
        <v/>
      </c>
      <c r="G265" s="25" t="str">
        <f aca="false">IF($E265="","",IFERROR(INDEX(Requisitions!$D$2:$D$101,MATCH($E265,Requisitions!$A$2:$A$101,0)),""))</f>
        <v/>
      </c>
      <c r="H265" s="21"/>
      <c r="I265" s="21"/>
      <c r="J265" s="22"/>
      <c r="K265" s="21"/>
      <c r="L265" s="22"/>
      <c r="M265" s="25" t="str">
        <f aca="false">IF($K265="","",IFERROR(INDEX(Lists!$D$4:$D$14,MATCH($K265,Lists!$A$4:$A$14,0)),"Check stage"))</f>
        <v/>
      </c>
      <c r="N265" s="21"/>
      <c r="O265" s="21"/>
      <c r="P265" s="26"/>
      <c r="Q265" s="26"/>
      <c r="R265" s="21"/>
      <c r="S265" s="21"/>
      <c r="T265" s="22"/>
      <c r="U265" s="22"/>
      <c r="V265" s="24" t="str">
        <f aca="false">IF(OR(N($P265)=0,$Q265=""),"",$Q265/$P265-1)</f>
        <v/>
      </c>
      <c r="W265" s="25" t="str">
        <f aca="true">IF($J265="","",IF($M265="Active",TODAY(),IF($U265&lt;&gt;"",$U265,IF($L265&lt;&gt;"",$L265,TODAY())))-$J265)</f>
        <v/>
      </c>
      <c r="X265" s="25" t="str">
        <f aca="true">IF(OR($L265="",$M265&lt;&gt;"Active"),"",TODAY()-$L265)</f>
        <v/>
      </c>
      <c r="Y265" s="25" t="str">
        <f aca="false">IF($M265&lt;&gt;"Active","",INDEX(Lists!$C$4:$C$14,MATCH($K265,Lists!$A$4:$A$14,0)))</f>
        <v/>
      </c>
      <c r="Z265" s="25" t="str">
        <f aca="false">IF($B265="","",IF($M265&lt;&gt;"Active","Closed",IF($X265="","",IF($X265&gt;$Y265,"BREACH","On Track"))))</f>
        <v/>
      </c>
      <c r="AA265" s="25" t="str">
        <f aca="false">IF($K265="","",IFERROR(INDEX(Lists!$E$4:$E$14,MATCH($K265,Lists!$A$4:$A$14,0)),""))</f>
        <v/>
      </c>
      <c r="AB265" s="27" t="str">
        <f aca="false">IF($U265&lt;&gt;"",$U265,IF(OR($T265="",$M265&lt;&gt;"Active"),"",$T265+N($R265)))</f>
        <v/>
      </c>
      <c r="AC265" s="25" t="str">
        <f aca="false">IF(OR($T265="",$J265=""),"",$T265-$J265)</f>
        <v/>
      </c>
      <c r="AD265" s="25" t="str">
        <f aca="false">IF(AND($K265="Joined",$U265&lt;&gt;"",$J265&lt;&gt;""),$U265-$J265,"")</f>
        <v/>
      </c>
      <c r="AE265" s="25" t="str">
        <f aca="false">IF($K265="","",IF(OR($K265="Rejected",$K265="Withdrawn"),IFERROR(INDEX(Lists!$B$4:$B$14,MATCH($N265,Lists!$A$4:$A$14,0)),1),IFERROR(INDEX(Lists!$B$4:$B$14,MATCH($K265,Lists!$A$4:$A$14,0)),0)))</f>
        <v/>
      </c>
    </row>
    <row r="266" customFormat="false" ht="15" hidden="false" customHeight="false" outlineLevel="0" collapsed="false">
      <c r="A266" s="25" t="str">
        <f aca="false">IF($B266="","","C-"&amp;TEXT(ROW()-1,"0000"))</f>
        <v/>
      </c>
      <c r="B266" s="21"/>
      <c r="C266" s="21"/>
      <c r="D266" s="21"/>
      <c r="E266" s="21"/>
      <c r="F266" s="25" t="str">
        <f aca="false">IF($E266="","",IFERROR(INDEX(Requisitions!$B$2:$B$101,MATCH($E266,Requisitions!$A$2:$A$101,0)),"Unknown Req"))</f>
        <v/>
      </c>
      <c r="G266" s="25" t="str">
        <f aca="false">IF($E266="","",IFERROR(INDEX(Requisitions!$D$2:$D$101,MATCH($E266,Requisitions!$A$2:$A$101,0)),""))</f>
        <v/>
      </c>
      <c r="H266" s="21"/>
      <c r="I266" s="21"/>
      <c r="J266" s="22"/>
      <c r="K266" s="21"/>
      <c r="L266" s="22"/>
      <c r="M266" s="25" t="str">
        <f aca="false">IF($K266="","",IFERROR(INDEX(Lists!$D$4:$D$14,MATCH($K266,Lists!$A$4:$A$14,0)),"Check stage"))</f>
        <v/>
      </c>
      <c r="N266" s="21"/>
      <c r="O266" s="21"/>
      <c r="P266" s="26"/>
      <c r="Q266" s="26"/>
      <c r="R266" s="21"/>
      <c r="S266" s="21"/>
      <c r="T266" s="22"/>
      <c r="U266" s="22"/>
      <c r="V266" s="24" t="str">
        <f aca="false">IF(OR(N($P266)=0,$Q266=""),"",$Q266/$P266-1)</f>
        <v/>
      </c>
      <c r="W266" s="25" t="str">
        <f aca="true">IF($J266="","",IF($M266="Active",TODAY(),IF($U266&lt;&gt;"",$U266,IF($L266&lt;&gt;"",$L266,TODAY())))-$J266)</f>
        <v/>
      </c>
      <c r="X266" s="25" t="str">
        <f aca="true">IF(OR($L266="",$M266&lt;&gt;"Active"),"",TODAY()-$L266)</f>
        <v/>
      </c>
      <c r="Y266" s="25" t="str">
        <f aca="false">IF($M266&lt;&gt;"Active","",INDEX(Lists!$C$4:$C$14,MATCH($K266,Lists!$A$4:$A$14,0)))</f>
        <v/>
      </c>
      <c r="Z266" s="25" t="str">
        <f aca="false">IF($B266="","",IF($M266&lt;&gt;"Active","Closed",IF($X266="","",IF($X266&gt;$Y266,"BREACH","On Track"))))</f>
        <v/>
      </c>
      <c r="AA266" s="25" t="str">
        <f aca="false">IF($K266="","",IFERROR(INDEX(Lists!$E$4:$E$14,MATCH($K266,Lists!$A$4:$A$14,0)),""))</f>
        <v/>
      </c>
      <c r="AB266" s="27" t="str">
        <f aca="false">IF($U266&lt;&gt;"",$U266,IF(OR($T266="",$M266&lt;&gt;"Active"),"",$T266+N($R266)))</f>
        <v/>
      </c>
      <c r="AC266" s="25" t="str">
        <f aca="false">IF(OR($T266="",$J266=""),"",$T266-$J266)</f>
        <v/>
      </c>
      <c r="AD266" s="25" t="str">
        <f aca="false">IF(AND($K266="Joined",$U266&lt;&gt;"",$J266&lt;&gt;""),$U266-$J266,"")</f>
        <v/>
      </c>
      <c r="AE266" s="25" t="str">
        <f aca="false">IF($K266="","",IF(OR($K266="Rejected",$K266="Withdrawn"),IFERROR(INDEX(Lists!$B$4:$B$14,MATCH($N266,Lists!$A$4:$A$14,0)),1),IFERROR(INDEX(Lists!$B$4:$B$14,MATCH($K266,Lists!$A$4:$A$14,0)),0)))</f>
        <v/>
      </c>
    </row>
    <row r="267" customFormat="false" ht="15" hidden="false" customHeight="false" outlineLevel="0" collapsed="false">
      <c r="A267" s="25" t="str">
        <f aca="false">IF($B267="","","C-"&amp;TEXT(ROW()-1,"0000"))</f>
        <v/>
      </c>
      <c r="B267" s="21"/>
      <c r="C267" s="21"/>
      <c r="D267" s="21"/>
      <c r="E267" s="21"/>
      <c r="F267" s="25" t="str">
        <f aca="false">IF($E267="","",IFERROR(INDEX(Requisitions!$B$2:$B$101,MATCH($E267,Requisitions!$A$2:$A$101,0)),"Unknown Req"))</f>
        <v/>
      </c>
      <c r="G267" s="25" t="str">
        <f aca="false">IF($E267="","",IFERROR(INDEX(Requisitions!$D$2:$D$101,MATCH($E267,Requisitions!$A$2:$A$101,0)),""))</f>
        <v/>
      </c>
      <c r="H267" s="21"/>
      <c r="I267" s="21"/>
      <c r="J267" s="22"/>
      <c r="K267" s="21"/>
      <c r="L267" s="22"/>
      <c r="M267" s="25" t="str">
        <f aca="false">IF($K267="","",IFERROR(INDEX(Lists!$D$4:$D$14,MATCH($K267,Lists!$A$4:$A$14,0)),"Check stage"))</f>
        <v/>
      </c>
      <c r="N267" s="21"/>
      <c r="O267" s="21"/>
      <c r="P267" s="26"/>
      <c r="Q267" s="26"/>
      <c r="R267" s="21"/>
      <c r="S267" s="21"/>
      <c r="T267" s="22"/>
      <c r="U267" s="22"/>
      <c r="V267" s="24" t="str">
        <f aca="false">IF(OR(N($P267)=0,$Q267=""),"",$Q267/$P267-1)</f>
        <v/>
      </c>
      <c r="W267" s="25" t="str">
        <f aca="true">IF($J267="","",IF($M267="Active",TODAY(),IF($U267&lt;&gt;"",$U267,IF($L267&lt;&gt;"",$L267,TODAY())))-$J267)</f>
        <v/>
      </c>
      <c r="X267" s="25" t="str">
        <f aca="true">IF(OR($L267="",$M267&lt;&gt;"Active"),"",TODAY()-$L267)</f>
        <v/>
      </c>
      <c r="Y267" s="25" t="str">
        <f aca="false">IF($M267&lt;&gt;"Active","",INDEX(Lists!$C$4:$C$14,MATCH($K267,Lists!$A$4:$A$14,0)))</f>
        <v/>
      </c>
      <c r="Z267" s="25" t="str">
        <f aca="false">IF($B267="","",IF($M267&lt;&gt;"Active","Closed",IF($X267="","",IF($X267&gt;$Y267,"BREACH","On Track"))))</f>
        <v/>
      </c>
      <c r="AA267" s="25" t="str">
        <f aca="false">IF($K267="","",IFERROR(INDEX(Lists!$E$4:$E$14,MATCH($K267,Lists!$A$4:$A$14,0)),""))</f>
        <v/>
      </c>
      <c r="AB267" s="27" t="str">
        <f aca="false">IF($U267&lt;&gt;"",$U267,IF(OR($T267="",$M267&lt;&gt;"Active"),"",$T267+N($R267)))</f>
        <v/>
      </c>
      <c r="AC267" s="25" t="str">
        <f aca="false">IF(OR($T267="",$J267=""),"",$T267-$J267)</f>
        <v/>
      </c>
      <c r="AD267" s="25" t="str">
        <f aca="false">IF(AND($K267="Joined",$U267&lt;&gt;"",$J267&lt;&gt;""),$U267-$J267,"")</f>
        <v/>
      </c>
      <c r="AE267" s="25" t="str">
        <f aca="false">IF($K267="","",IF(OR($K267="Rejected",$K267="Withdrawn"),IFERROR(INDEX(Lists!$B$4:$B$14,MATCH($N267,Lists!$A$4:$A$14,0)),1),IFERROR(INDEX(Lists!$B$4:$B$14,MATCH($K267,Lists!$A$4:$A$14,0)),0)))</f>
        <v/>
      </c>
    </row>
    <row r="268" customFormat="false" ht="15" hidden="false" customHeight="false" outlineLevel="0" collapsed="false">
      <c r="A268" s="25" t="str">
        <f aca="false">IF($B268="","","C-"&amp;TEXT(ROW()-1,"0000"))</f>
        <v/>
      </c>
      <c r="B268" s="21"/>
      <c r="C268" s="21"/>
      <c r="D268" s="21"/>
      <c r="E268" s="21"/>
      <c r="F268" s="25" t="str">
        <f aca="false">IF($E268="","",IFERROR(INDEX(Requisitions!$B$2:$B$101,MATCH($E268,Requisitions!$A$2:$A$101,0)),"Unknown Req"))</f>
        <v/>
      </c>
      <c r="G268" s="25" t="str">
        <f aca="false">IF($E268="","",IFERROR(INDEX(Requisitions!$D$2:$D$101,MATCH($E268,Requisitions!$A$2:$A$101,0)),""))</f>
        <v/>
      </c>
      <c r="H268" s="21"/>
      <c r="I268" s="21"/>
      <c r="J268" s="22"/>
      <c r="K268" s="21"/>
      <c r="L268" s="22"/>
      <c r="M268" s="25" t="str">
        <f aca="false">IF($K268="","",IFERROR(INDEX(Lists!$D$4:$D$14,MATCH($K268,Lists!$A$4:$A$14,0)),"Check stage"))</f>
        <v/>
      </c>
      <c r="N268" s="21"/>
      <c r="O268" s="21"/>
      <c r="P268" s="26"/>
      <c r="Q268" s="26"/>
      <c r="R268" s="21"/>
      <c r="S268" s="21"/>
      <c r="T268" s="22"/>
      <c r="U268" s="22"/>
      <c r="V268" s="24" t="str">
        <f aca="false">IF(OR(N($P268)=0,$Q268=""),"",$Q268/$P268-1)</f>
        <v/>
      </c>
      <c r="W268" s="25" t="str">
        <f aca="true">IF($J268="","",IF($M268="Active",TODAY(),IF($U268&lt;&gt;"",$U268,IF($L268&lt;&gt;"",$L268,TODAY())))-$J268)</f>
        <v/>
      </c>
      <c r="X268" s="25" t="str">
        <f aca="true">IF(OR($L268="",$M268&lt;&gt;"Active"),"",TODAY()-$L268)</f>
        <v/>
      </c>
      <c r="Y268" s="25" t="str">
        <f aca="false">IF($M268&lt;&gt;"Active","",INDEX(Lists!$C$4:$C$14,MATCH($K268,Lists!$A$4:$A$14,0)))</f>
        <v/>
      </c>
      <c r="Z268" s="25" t="str">
        <f aca="false">IF($B268="","",IF($M268&lt;&gt;"Active","Closed",IF($X268="","",IF($X268&gt;$Y268,"BREACH","On Track"))))</f>
        <v/>
      </c>
      <c r="AA268" s="25" t="str">
        <f aca="false">IF($K268="","",IFERROR(INDEX(Lists!$E$4:$E$14,MATCH($K268,Lists!$A$4:$A$14,0)),""))</f>
        <v/>
      </c>
      <c r="AB268" s="27" t="str">
        <f aca="false">IF($U268&lt;&gt;"",$U268,IF(OR($T268="",$M268&lt;&gt;"Active"),"",$T268+N($R268)))</f>
        <v/>
      </c>
      <c r="AC268" s="25" t="str">
        <f aca="false">IF(OR($T268="",$J268=""),"",$T268-$J268)</f>
        <v/>
      </c>
      <c r="AD268" s="25" t="str">
        <f aca="false">IF(AND($K268="Joined",$U268&lt;&gt;"",$J268&lt;&gt;""),$U268-$J268,"")</f>
        <v/>
      </c>
      <c r="AE268" s="25" t="str">
        <f aca="false">IF($K268="","",IF(OR($K268="Rejected",$K268="Withdrawn"),IFERROR(INDEX(Lists!$B$4:$B$14,MATCH($N268,Lists!$A$4:$A$14,0)),1),IFERROR(INDEX(Lists!$B$4:$B$14,MATCH($K268,Lists!$A$4:$A$14,0)),0)))</f>
        <v/>
      </c>
    </row>
    <row r="269" customFormat="false" ht="15" hidden="false" customHeight="false" outlineLevel="0" collapsed="false">
      <c r="A269" s="25" t="str">
        <f aca="false">IF($B269="","","C-"&amp;TEXT(ROW()-1,"0000"))</f>
        <v/>
      </c>
      <c r="B269" s="21"/>
      <c r="C269" s="21"/>
      <c r="D269" s="21"/>
      <c r="E269" s="21"/>
      <c r="F269" s="25" t="str">
        <f aca="false">IF($E269="","",IFERROR(INDEX(Requisitions!$B$2:$B$101,MATCH($E269,Requisitions!$A$2:$A$101,0)),"Unknown Req"))</f>
        <v/>
      </c>
      <c r="G269" s="25" t="str">
        <f aca="false">IF($E269="","",IFERROR(INDEX(Requisitions!$D$2:$D$101,MATCH($E269,Requisitions!$A$2:$A$101,0)),""))</f>
        <v/>
      </c>
      <c r="H269" s="21"/>
      <c r="I269" s="21"/>
      <c r="J269" s="22"/>
      <c r="K269" s="21"/>
      <c r="L269" s="22"/>
      <c r="M269" s="25" t="str">
        <f aca="false">IF($K269="","",IFERROR(INDEX(Lists!$D$4:$D$14,MATCH($K269,Lists!$A$4:$A$14,0)),"Check stage"))</f>
        <v/>
      </c>
      <c r="N269" s="21"/>
      <c r="O269" s="21"/>
      <c r="P269" s="26"/>
      <c r="Q269" s="26"/>
      <c r="R269" s="21"/>
      <c r="S269" s="21"/>
      <c r="T269" s="22"/>
      <c r="U269" s="22"/>
      <c r="V269" s="24" t="str">
        <f aca="false">IF(OR(N($P269)=0,$Q269=""),"",$Q269/$P269-1)</f>
        <v/>
      </c>
      <c r="W269" s="25" t="str">
        <f aca="true">IF($J269="","",IF($M269="Active",TODAY(),IF($U269&lt;&gt;"",$U269,IF($L269&lt;&gt;"",$L269,TODAY())))-$J269)</f>
        <v/>
      </c>
      <c r="X269" s="25" t="str">
        <f aca="true">IF(OR($L269="",$M269&lt;&gt;"Active"),"",TODAY()-$L269)</f>
        <v/>
      </c>
      <c r="Y269" s="25" t="str">
        <f aca="false">IF($M269&lt;&gt;"Active","",INDEX(Lists!$C$4:$C$14,MATCH($K269,Lists!$A$4:$A$14,0)))</f>
        <v/>
      </c>
      <c r="Z269" s="25" t="str">
        <f aca="false">IF($B269="","",IF($M269&lt;&gt;"Active","Closed",IF($X269="","",IF($X269&gt;$Y269,"BREACH","On Track"))))</f>
        <v/>
      </c>
      <c r="AA269" s="25" t="str">
        <f aca="false">IF($K269="","",IFERROR(INDEX(Lists!$E$4:$E$14,MATCH($K269,Lists!$A$4:$A$14,0)),""))</f>
        <v/>
      </c>
      <c r="AB269" s="27" t="str">
        <f aca="false">IF($U269&lt;&gt;"",$U269,IF(OR($T269="",$M269&lt;&gt;"Active"),"",$T269+N($R269)))</f>
        <v/>
      </c>
      <c r="AC269" s="25" t="str">
        <f aca="false">IF(OR($T269="",$J269=""),"",$T269-$J269)</f>
        <v/>
      </c>
      <c r="AD269" s="25" t="str">
        <f aca="false">IF(AND($K269="Joined",$U269&lt;&gt;"",$J269&lt;&gt;""),$U269-$J269,"")</f>
        <v/>
      </c>
      <c r="AE269" s="25" t="str">
        <f aca="false">IF($K269="","",IF(OR($K269="Rejected",$K269="Withdrawn"),IFERROR(INDEX(Lists!$B$4:$B$14,MATCH($N269,Lists!$A$4:$A$14,0)),1),IFERROR(INDEX(Lists!$B$4:$B$14,MATCH($K269,Lists!$A$4:$A$14,0)),0)))</f>
        <v/>
      </c>
    </row>
    <row r="270" customFormat="false" ht="15" hidden="false" customHeight="false" outlineLevel="0" collapsed="false">
      <c r="A270" s="25" t="str">
        <f aca="false">IF($B270="","","C-"&amp;TEXT(ROW()-1,"0000"))</f>
        <v/>
      </c>
      <c r="B270" s="21"/>
      <c r="C270" s="21"/>
      <c r="D270" s="21"/>
      <c r="E270" s="21"/>
      <c r="F270" s="25" t="str">
        <f aca="false">IF($E270="","",IFERROR(INDEX(Requisitions!$B$2:$B$101,MATCH($E270,Requisitions!$A$2:$A$101,0)),"Unknown Req"))</f>
        <v/>
      </c>
      <c r="G270" s="25" t="str">
        <f aca="false">IF($E270="","",IFERROR(INDEX(Requisitions!$D$2:$D$101,MATCH($E270,Requisitions!$A$2:$A$101,0)),""))</f>
        <v/>
      </c>
      <c r="H270" s="21"/>
      <c r="I270" s="21"/>
      <c r="J270" s="22"/>
      <c r="K270" s="21"/>
      <c r="L270" s="22"/>
      <c r="M270" s="25" t="str">
        <f aca="false">IF($K270="","",IFERROR(INDEX(Lists!$D$4:$D$14,MATCH($K270,Lists!$A$4:$A$14,0)),"Check stage"))</f>
        <v/>
      </c>
      <c r="N270" s="21"/>
      <c r="O270" s="21"/>
      <c r="P270" s="26"/>
      <c r="Q270" s="26"/>
      <c r="R270" s="21"/>
      <c r="S270" s="21"/>
      <c r="T270" s="22"/>
      <c r="U270" s="22"/>
      <c r="V270" s="24" t="str">
        <f aca="false">IF(OR(N($P270)=0,$Q270=""),"",$Q270/$P270-1)</f>
        <v/>
      </c>
      <c r="W270" s="25" t="str">
        <f aca="true">IF($J270="","",IF($M270="Active",TODAY(),IF($U270&lt;&gt;"",$U270,IF($L270&lt;&gt;"",$L270,TODAY())))-$J270)</f>
        <v/>
      </c>
      <c r="X270" s="25" t="str">
        <f aca="true">IF(OR($L270="",$M270&lt;&gt;"Active"),"",TODAY()-$L270)</f>
        <v/>
      </c>
      <c r="Y270" s="25" t="str">
        <f aca="false">IF($M270&lt;&gt;"Active","",INDEX(Lists!$C$4:$C$14,MATCH($K270,Lists!$A$4:$A$14,0)))</f>
        <v/>
      </c>
      <c r="Z270" s="25" t="str">
        <f aca="false">IF($B270="","",IF($M270&lt;&gt;"Active","Closed",IF($X270="","",IF($X270&gt;$Y270,"BREACH","On Track"))))</f>
        <v/>
      </c>
      <c r="AA270" s="25" t="str">
        <f aca="false">IF($K270="","",IFERROR(INDEX(Lists!$E$4:$E$14,MATCH($K270,Lists!$A$4:$A$14,0)),""))</f>
        <v/>
      </c>
      <c r="AB270" s="27" t="str">
        <f aca="false">IF($U270&lt;&gt;"",$U270,IF(OR($T270="",$M270&lt;&gt;"Active"),"",$T270+N($R270)))</f>
        <v/>
      </c>
      <c r="AC270" s="25" t="str">
        <f aca="false">IF(OR($T270="",$J270=""),"",$T270-$J270)</f>
        <v/>
      </c>
      <c r="AD270" s="25" t="str">
        <f aca="false">IF(AND($K270="Joined",$U270&lt;&gt;"",$J270&lt;&gt;""),$U270-$J270,"")</f>
        <v/>
      </c>
      <c r="AE270" s="25" t="str">
        <f aca="false">IF($K270="","",IF(OR($K270="Rejected",$K270="Withdrawn"),IFERROR(INDEX(Lists!$B$4:$B$14,MATCH($N270,Lists!$A$4:$A$14,0)),1),IFERROR(INDEX(Lists!$B$4:$B$14,MATCH($K270,Lists!$A$4:$A$14,0)),0)))</f>
        <v/>
      </c>
    </row>
    <row r="271" customFormat="false" ht="15" hidden="false" customHeight="false" outlineLevel="0" collapsed="false">
      <c r="A271" s="25" t="str">
        <f aca="false">IF($B271="","","C-"&amp;TEXT(ROW()-1,"0000"))</f>
        <v/>
      </c>
      <c r="B271" s="21"/>
      <c r="C271" s="21"/>
      <c r="D271" s="21"/>
      <c r="E271" s="21"/>
      <c r="F271" s="25" t="str">
        <f aca="false">IF($E271="","",IFERROR(INDEX(Requisitions!$B$2:$B$101,MATCH($E271,Requisitions!$A$2:$A$101,0)),"Unknown Req"))</f>
        <v/>
      </c>
      <c r="G271" s="25" t="str">
        <f aca="false">IF($E271="","",IFERROR(INDEX(Requisitions!$D$2:$D$101,MATCH($E271,Requisitions!$A$2:$A$101,0)),""))</f>
        <v/>
      </c>
      <c r="H271" s="21"/>
      <c r="I271" s="21"/>
      <c r="J271" s="22"/>
      <c r="K271" s="21"/>
      <c r="L271" s="22"/>
      <c r="M271" s="25" t="str">
        <f aca="false">IF($K271="","",IFERROR(INDEX(Lists!$D$4:$D$14,MATCH($K271,Lists!$A$4:$A$14,0)),"Check stage"))</f>
        <v/>
      </c>
      <c r="N271" s="21"/>
      <c r="O271" s="21"/>
      <c r="P271" s="26"/>
      <c r="Q271" s="26"/>
      <c r="R271" s="21"/>
      <c r="S271" s="21"/>
      <c r="T271" s="22"/>
      <c r="U271" s="22"/>
      <c r="V271" s="24" t="str">
        <f aca="false">IF(OR(N($P271)=0,$Q271=""),"",$Q271/$P271-1)</f>
        <v/>
      </c>
      <c r="W271" s="25" t="str">
        <f aca="true">IF($J271="","",IF($M271="Active",TODAY(),IF($U271&lt;&gt;"",$U271,IF($L271&lt;&gt;"",$L271,TODAY())))-$J271)</f>
        <v/>
      </c>
      <c r="X271" s="25" t="str">
        <f aca="true">IF(OR($L271="",$M271&lt;&gt;"Active"),"",TODAY()-$L271)</f>
        <v/>
      </c>
      <c r="Y271" s="25" t="str">
        <f aca="false">IF($M271&lt;&gt;"Active","",INDEX(Lists!$C$4:$C$14,MATCH($K271,Lists!$A$4:$A$14,0)))</f>
        <v/>
      </c>
      <c r="Z271" s="25" t="str">
        <f aca="false">IF($B271="","",IF($M271&lt;&gt;"Active","Closed",IF($X271="","",IF($X271&gt;$Y271,"BREACH","On Track"))))</f>
        <v/>
      </c>
      <c r="AA271" s="25" t="str">
        <f aca="false">IF($K271="","",IFERROR(INDEX(Lists!$E$4:$E$14,MATCH($K271,Lists!$A$4:$A$14,0)),""))</f>
        <v/>
      </c>
      <c r="AB271" s="27" t="str">
        <f aca="false">IF($U271&lt;&gt;"",$U271,IF(OR($T271="",$M271&lt;&gt;"Active"),"",$T271+N($R271)))</f>
        <v/>
      </c>
      <c r="AC271" s="25" t="str">
        <f aca="false">IF(OR($T271="",$J271=""),"",$T271-$J271)</f>
        <v/>
      </c>
      <c r="AD271" s="25" t="str">
        <f aca="false">IF(AND($K271="Joined",$U271&lt;&gt;"",$J271&lt;&gt;""),$U271-$J271,"")</f>
        <v/>
      </c>
      <c r="AE271" s="25" t="str">
        <f aca="false">IF($K271="","",IF(OR($K271="Rejected",$K271="Withdrawn"),IFERROR(INDEX(Lists!$B$4:$B$14,MATCH($N271,Lists!$A$4:$A$14,0)),1),IFERROR(INDEX(Lists!$B$4:$B$14,MATCH($K271,Lists!$A$4:$A$14,0)),0)))</f>
        <v/>
      </c>
    </row>
    <row r="272" customFormat="false" ht="15" hidden="false" customHeight="false" outlineLevel="0" collapsed="false">
      <c r="A272" s="25" t="str">
        <f aca="false">IF($B272="","","C-"&amp;TEXT(ROW()-1,"0000"))</f>
        <v/>
      </c>
      <c r="B272" s="21"/>
      <c r="C272" s="21"/>
      <c r="D272" s="21"/>
      <c r="E272" s="21"/>
      <c r="F272" s="25" t="str">
        <f aca="false">IF($E272="","",IFERROR(INDEX(Requisitions!$B$2:$B$101,MATCH($E272,Requisitions!$A$2:$A$101,0)),"Unknown Req"))</f>
        <v/>
      </c>
      <c r="G272" s="25" t="str">
        <f aca="false">IF($E272="","",IFERROR(INDEX(Requisitions!$D$2:$D$101,MATCH($E272,Requisitions!$A$2:$A$101,0)),""))</f>
        <v/>
      </c>
      <c r="H272" s="21"/>
      <c r="I272" s="21"/>
      <c r="J272" s="22"/>
      <c r="K272" s="21"/>
      <c r="L272" s="22"/>
      <c r="M272" s="25" t="str">
        <f aca="false">IF($K272="","",IFERROR(INDEX(Lists!$D$4:$D$14,MATCH($K272,Lists!$A$4:$A$14,0)),"Check stage"))</f>
        <v/>
      </c>
      <c r="N272" s="21"/>
      <c r="O272" s="21"/>
      <c r="P272" s="26"/>
      <c r="Q272" s="26"/>
      <c r="R272" s="21"/>
      <c r="S272" s="21"/>
      <c r="T272" s="22"/>
      <c r="U272" s="22"/>
      <c r="V272" s="24" t="str">
        <f aca="false">IF(OR(N($P272)=0,$Q272=""),"",$Q272/$P272-1)</f>
        <v/>
      </c>
      <c r="W272" s="25" t="str">
        <f aca="true">IF($J272="","",IF($M272="Active",TODAY(),IF($U272&lt;&gt;"",$U272,IF($L272&lt;&gt;"",$L272,TODAY())))-$J272)</f>
        <v/>
      </c>
      <c r="X272" s="25" t="str">
        <f aca="true">IF(OR($L272="",$M272&lt;&gt;"Active"),"",TODAY()-$L272)</f>
        <v/>
      </c>
      <c r="Y272" s="25" t="str">
        <f aca="false">IF($M272&lt;&gt;"Active","",INDEX(Lists!$C$4:$C$14,MATCH($K272,Lists!$A$4:$A$14,0)))</f>
        <v/>
      </c>
      <c r="Z272" s="25" t="str">
        <f aca="false">IF($B272="","",IF($M272&lt;&gt;"Active","Closed",IF($X272="","",IF($X272&gt;$Y272,"BREACH","On Track"))))</f>
        <v/>
      </c>
      <c r="AA272" s="25" t="str">
        <f aca="false">IF($K272="","",IFERROR(INDEX(Lists!$E$4:$E$14,MATCH($K272,Lists!$A$4:$A$14,0)),""))</f>
        <v/>
      </c>
      <c r="AB272" s="27" t="str">
        <f aca="false">IF($U272&lt;&gt;"",$U272,IF(OR($T272="",$M272&lt;&gt;"Active"),"",$T272+N($R272)))</f>
        <v/>
      </c>
      <c r="AC272" s="25" t="str">
        <f aca="false">IF(OR($T272="",$J272=""),"",$T272-$J272)</f>
        <v/>
      </c>
      <c r="AD272" s="25" t="str">
        <f aca="false">IF(AND($K272="Joined",$U272&lt;&gt;"",$J272&lt;&gt;""),$U272-$J272,"")</f>
        <v/>
      </c>
      <c r="AE272" s="25" t="str">
        <f aca="false">IF($K272="","",IF(OR($K272="Rejected",$K272="Withdrawn"),IFERROR(INDEX(Lists!$B$4:$B$14,MATCH($N272,Lists!$A$4:$A$14,0)),1),IFERROR(INDEX(Lists!$B$4:$B$14,MATCH($K272,Lists!$A$4:$A$14,0)),0)))</f>
        <v/>
      </c>
    </row>
    <row r="273" customFormat="false" ht="15" hidden="false" customHeight="false" outlineLevel="0" collapsed="false">
      <c r="A273" s="25" t="str">
        <f aca="false">IF($B273="","","C-"&amp;TEXT(ROW()-1,"0000"))</f>
        <v/>
      </c>
      <c r="B273" s="21"/>
      <c r="C273" s="21"/>
      <c r="D273" s="21"/>
      <c r="E273" s="21"/>
      <c r="F273" s="25" t="str">
        <f aca="false">IF($E273="","",IFERROR(INDEX(Requisitions!$B$2:$B$101,MATCH($E273,Requisitions!$A$2:$A$101,0)),"Unknown Req"))</f>
        <v/>
      </c>
      <c r="G273" s="25" t="str">
        <f aca="false">IF($E273="","",IFERROR(INDEX(Requisitions!$D$2:$D$101,MATCH($E273,Requisitions!$A$2:$A$101,0)),""))</f>
        <v/>
      </c>
      <c r="H273" s="21"/>
      <c r="I273" s="21"/>
      <c r="J273" s="22"/>
      <c r="K273" s="21"/>
      <c r="L273" s="22"/>
      <c r="M273" s="25" t="str">
        <f aca="false">IF($K273="","",IFERROR(INDEX(Lists!$D$4:$D$14,MATCH($K273,Lists!$A$4:$A$14,0)),"Check stage"))</f>
        <v/>
      </c>
      <c r="N273" s="21"/>
      <c r="O273" s="21"/>
      <c r="P273" s="26"/>
      <c r="Q273" s="26"/>
      <c r="R273" s="21"/>
      <c r="S273" s="21"/>
      <c r="T273" s="22"/>
      <c r="U273" s="22"/>
      <c r="V273" s="24" t="str">
        <f aca="false">IF(OR(N($P273)=0,$Q273=""),"",$Q273/$P273-1)</f>
        <v/>
      </c>
      <c r="W273" s="25" t="str">
        <f aca="true">IF($J273="","",IF($M273="Active",TODAY(),IF($U273&lt;&gt;"",$U273,IF($L273&lt;&gt;"",$L273,TODAY())))-$J273)</f>
        <v/>
      </c>
      <c r="X273" s="25" t="str">
        <f aca="true">IF(OR($L273="",$M273&lt;&gt;"Active"),"",TODAY()-$L273)</f>
        <v/>
      </c>
      <c r="Y273" s="25" t="str">
        <f aca="false">IF($M273&lt;&gt;"Active","",INDEX(Lists!$C$4:$C$14,MATCH($K273,Lists!$A$4:$A$14,0)))</f>
        <v/>
      </c>
      <c r="Z273" s="25" t="str">
        <f aca="false">IF($B273="","",IF($M273&lt;&gt;"Active","Closed",IF($X273="","",IF($X273&gt;$Y273,"BREACH","On Track"))))</f>
        <v/>
      </c>
      <c r="AA273" s="25" t="str">
        <f aca="false">IF($K273="","",IFERROR(INDEX(Lists!$E$4:$E$14,MATCH($K273,Lists!$A$4:$A$14,0)),""))</f>
        <v/>
      </c>
      <c r="AB273" s="27" t="str">
        <f aca="false">IF($U273&lt;&gt;"",$U273,IF(OR($T273="",$M273&lt;&gt;"Active"),"",$T273+N($R273)))</f>
        <v/>
      </c>
      <c r="AC273" s="25" t="str">
        <f aca="false">IF(OR($T273="",$J273=""),"",$T273-$J273)</f>
        <v/>
      </c>
      <c r="AD273" s="25" t="str">
        <f aca="false">IF(AND($K273="Joined",$U273&lt;&gt;"",$J273&lt;&gt;""),$U273-$J273,"")</f>
        <v/>
      </c>
      <c r="AE273" s="25" t="str">
        <f aca="false">IF($K273="","",IF(OR($K273="Rejected",$K273="Withdrawn"),IFERROR(INDEX(Lists!$B$4:$B$14,MATCH($N273,Lists!$A$4:$A$14,0)),1),IFERROR(INDEX(Lists!$B$4:$B$14,MATCH($K273,Lists!$A$4:$A$14,0)),0)))</f>
        <v/>
      </c>
    </row>
    <row r="274" customFormat="false" ht="15" hidden="false" customHeight="false" outlineLevel="0" collapsed="false">
      <c r="A274" s="25" t="str">
        <f aca="false">IF($B274="","","C-"&amp;TEXT(ROW()-1,"0000"))</f>
        <v/>
      </c>
      <c r="B274" s="21"/>
      <c r="C274" s="21"/>
      <c r="D274" s="21"/>
      <c r="E274" s="21"/>
      <c r="F274" s="25" t="str">
        <f aca="false">IF($E274="","",IFERROR(INDEX(Requisitions!$B$2:$B$101,MATCH($E274,Requisitions!$A$2:$A$101,0)),"Unknown Req"))</f>
        <v/>
      </c>
      <c r="G274" s="25" t="str">
        <f aca="false">IF($E274="","",IFERROR(INDEX(Requisitions!$D$2:$D$101,MATCH($E274,Requisitions!$A$2:$A$101,0)),""))</f>
        <v/>
      </c>
      <c r="H274" s="21"/>
      <c r="I274" s="21"/>
      <c r="J274" s="22"/>
      <c r="K274" s="21"/>
      <c r="L274" s="22"/>
      <c r="M274" s="25" t="str">
        <f aca="false">IF($K274="","",IFERROR(INDEX(Lists!$D$4:$D$14,MATCH($K274,Lists!$A$4:$A$14,0)),"Check stage"))</f>
        <v/>
      </c>
      <c r="N274" s="21"/>
      <c r="O274" s="21"/>
      <c r="P274" s="26"/>
      <c r="Q274" s="26"/>
      <c r="R274" s="21"/>
      <c r="S274" s="21"/>
      <c r="T274" s="22"/>
      <c r="U274" s="22"/>
      <c r="V274" s="24" t="str">
        <f aca="false">IF(OR(N($P274)=0,$Q274=""),"",$Q274/$P274-1)</f>
        <v/>
      </c>
      <c r="W274" s="25" t="str">
        <f aca="true">IF($J274="","",IF($M274="Active",TODAY(),IF($U274&lt;&gt;"",$U274,IF($L274&lt;&gt;"",$L274,TODAY())))-$J274)</f>
        <v/>
      </c>
      <c r="X274" s="25" t="str">
        <f aca="true">IF(OR($L274="",$M274&lt;&gt;"Active"),"",TODAY()-$L274)</f>
        <v/>
      </c>
      <c r="Y274" s="25" t="str">
        <f aca="false">IF($M274&lt;&gt;"Active","",INDEX(Lists!$C$4:$C$14,MATCH($K274,Lists!$A$4:$A$14,0)))</f>
        <v/>
      </c>
      <c r="Z274" s="25" t="str">
        <f aca="false">IF($B274="","",IF($M274&lt;&gt;"Active","Closed",IF($X274="","",IF($X274&gt;$Y274,"BREACH","On Track"))))</f>
        <v/>
      </c>
      <c r="AA274" s="25" t="str">
        <f aca="false">IF($K274="","",IFERROR(INDEX(Lists!$E$4:$E$14,MATCH($K274,Lists!$A$4:$A$14,0)),""))</f>
        <v/>
      </c>
      <c r="AB274" s="27" t="str">
        <f aca="false">IF($U274&lt;&gt;"",$U274,IF(OR($T274="",$M274&lt;&gt;"Active"),"",$T274+N($R274)))</f>
        <v/>
      </c>
      <c r="AC274" s="25" t="str">
        <f aca="false">IF(OR($T274="",$J274=""),"",$T274-$J274)</f>
        <v/>
      </c>
      <c r="AD274" s="25" t="str">
        <f aca="false">IF(AND($K274="Joined",$U274&lt;&gt;"",$J274&lt;&gt;""),$U274-$J274,"")</f>
        <v/>
      </c>
      <c r="AE274" s="25" t="str">
        <f aca="false">IF($K274="","",IF(OR($K274="Rejected",$K274="Withdrawn"),IFERROR(INDEX(Lists!$B$4:$B$14,MATCH($N274,Lists!$A$4:$A$14,0)),1),IFERROR(INDEX(Lists!$B$4:$B$14,MATCH($K274,Lists!$A$4:$A$14,0)),0)))</f>
        <v/>
      </c>
    </row>
    <row r="275" customFormat="false" ht="15" hidden="false" customHeight="false" outlineLevel="0" collapsed="false">
      <c r="A275" s="25" t="str">
        <f aca="false">IF($B275="","","C-"&amp;TEXT(ROW()-1,"0000"))</f>
        <v/>
      </c>
      <c r="B275" s="21"/>
      <c r="C275" s="21"/>
      <c r="D275" s="21"/>
      <c r="E275" s="21"/>
      <c r="F275" s="25" t="str">
        <f aca="false">IF($E275="","",IFERROR(INDEX(Requisitions!$B$2:$B$101,MATCH($E275,Requisitions!$A$2:$A$101,0)),"Unknown Req"))</f>
        <v/>
      </c>
      <c r="G275" s="25" t="str">
        <f aca="false">IF($E275="","",IFERROR(INDEX(Requisitions!$D$2:$D$101,MATCH($E275,Requisitions!$A$2:$A$101,0)),""))</f>
        <v/>
      </c>
      <c r="H275" s="21"/>
      <c r="I275" s="21"/>
      <c r="J275" s="22"/>
      <c r="K275" s="21"/>
      <c r="L275" s="22"/>
      <c r="M275" s="25" t="str">
        <f aca="false">IF($K275="","",IFERROR(INDEX(Lists!$D$4:$D$14,MATCH($K275,Lists!$A$4:$A$14,0)),"Check stage"))</f>
        <v/>
      </c>
      <c r="N275" s="21"/>
      <c r="O275" s="21"/>
      <c r="P275" s="26"/>
      <c r="Q275" s="26"/>
      <c r="R275" s="21"/>
      <c r="S275" s="21"/>
      <c r="T275" s="22"/>
      <c r="U275" s="22"/>
      <c r="V275" s="24" t="str">
        <f aca="false">IF(OR(N($P275)=0,$Q275=""),"",$Q275/$P275-1)</f>
        <v/>
      </c>
      <c r="W275" s="25" t="str">
        <f aca="true">IF($J275="","",IF($M275="Active",TODAY(),IF($U275&lt;&gt;"",$U275,IF($L275&lt;&gt;"",$L275,TODAY())))-$J275)</f>
        <v/>
      </c>
      <c r="X275" s="25" t="str">
        <f aca="true">IF(OR($L275="",$M275&lt;&gt;"Active"),"",TODAY()-$L275)</f>
        <v/>
      </c>
      <c r="Y275" s="25" t="str">
        <f aca="false">IF($M275&lt;&gt;"Active","",INDEX(Lists!$C$4:$C$14,MATCH($K275,Lists!$A$4:$A$14,0)))</f>
        <v/>
      </c>
      <c r="Z275" s="25" t="str">
        <f aca="false">IF($B275="","",IF($M275&lt;&gt;"Active","Closed",IF($X275="","",IF($X275&gt;$Y275,"BREACH","On Track"))))</f>
        <v/>
      </c>
      <c r="AA275" s="25" t="str">
        <f aca="false">IF($K275="","",IFERROR(INDEX(Lists!$E$4:$E$14,MATCH($K275,Lists!$A$4:$A$14,0)),""))</f>
        <v/>
      </c>
      <c r="AB275" s="27" t="str">
        <f aca="false">IF($U275&lt;&gt;"",$U275,IF(OR($T275="",$M275&lt;&gt;"Active"),"",$T275+N($R275)))</f>
        <v/>
      </c>
      <c r="AC275" s="25" t="str">
        <f aca="false">IF(OR($T275="",$J275=""),"",$T275-$J275)</f>
        <v/>
      </c>
      <c r="AD275" s="25" t="str">
        <f aca="false">IF(AND($K275="Joined",$U275&lt;&gt;"",$J275&lt;&gt;""),$U275-$J275,"")</f>
        <v/>
      </c>
      <c r="AE275" s="25" t="str">
        <f aca="false">IF($K275="","",IF(OR($K275="Rejected",$K275="Withdrawn"),IFERROR(INDEX(Lists!$B$4:$B$14,MATCH($N275,Lists!$A$4:$A$14,0)),1),IFERROR(INDEX(Lists!$B$4:$B$14,MATCH($K275,Lists!$A$4:$A$14,0)),0)))</f>
        <v/>
      </c>
    </row>
    <row r="276" customFormat="false" ht="15" hidden="false" customHeight="false" outlineLevel="0" collapsed="false">
      <c r="A276" s="25" t="str">
        <f aca="false">IF($B276="","","C-"&amp;TEXT(ROW()-1,"0000"))</f>
        <v/>
      </c>
      <c r="B276" s="21"/>
      <c r="C276" s="21"/>
      <c r="D276" s="21"/>
      <c r="E276" s="21"/>
      <c r="F276" s="25" t="str">
        <f aca="false">IF($E276="","",IFERROR(INDEX(Requisitions!$B$2:$B$101,MATCH($E276,Requisitions!$A$2:$A$101,0)),"Unknown Req"))</f>
        <v/>
      </c>
      <c r="G276" s="25" t="str">
        <f aca="false">IF($E276="","",IFERROR(INDEX(Requisitions!$D$2:$D$101,MATCH($E276,Requisitions!$A$2:$A$101,0)),""))</f>
        <v/>
      </c>
      <c r="H276" s="21"/>
      <c r="I276" s="21"/>
      <c r="J276" s="22"/>
      <c r="K276" s="21"/>
      <c r="L276" s="22"/>
      <c r="M276" s="25" t="str">
        <f aca="false">IF($K276="","",IFERROR(INDEX(Lists!$D$4:$D$14,MATCH($K276,Lists!$A$4:$A$14,0)),"Check stage"))</f>
        <v/>
      </c>
      <c r="N276" s="21"/>
      <c r="O276" s="21"/>
      <c r="P276" s="26"/>
      <c r="Q276" s="26"/>
      <c r="R276" s="21"/>
      <c r="S276" s="21"/>
      <c r="T276" s="22"/>
      <c r="U276" s="22"/>
      <c r="V276" s="24" t="str">
        <f aca="false">IF(OR(N($P276)=0,$Q276=""),"",$Q276/$P276-1)</f>
        <v/>
      </c>
      <c r="W276" s="25" t="str">
        <f aca="true">IF($J276="","",IF($M276="Active",TODAY(),IF($U276&lt;&gt;"",$U276,IF($L276&lt;&gt;"",$L276,TODAY())))-$J276)</f>
        <v/>
      </c>
      <c r="X276" s="25" t="str">
        <f aca="true">IF(OR($L276="",$M276&lt;&gt;"Active"),"",TODAY()-$L276)</f>
        <v/>
      </c>
      <c r="Y276" s="25" t="str">
        <f aca="false">IF($M276&lt;&gt;"Active","",INDEX(Lists!$C$4:$C$14,MATCH($K276,Lists!$A$4:$A$14,0)))</f>
        <v/>
      </c>
      <c r="Z276" s="25" t="str">
        <f aca="false">IF($B276="","",IF($M276&lt;&gt;"Active","Closed",IF($X276="","",IF($X276&gt;$Y276,"BREACH","On Track"))))</f>
        <v/>
      </c>
      <c r="AA276" s="25" t="str">
        <f aca="false">IF($K276="","",IFERROR(INDEX(Lists!$E$4:$E$14,MATCH($K276,Lists!$A$4:$A$14,0)),""))</f>
        <v/>
      </c>
      <c r="AB276" s="27" t="str">
        <f aca="false">IF($U276&lt;&gt;"",$U276,IF(OR($T276="",$M276&lt;&gt;"Active"),"",$T276+N($R276)))</f>
        <v/>
      </c>
      <c r="AC276" s="25" t="str">
        <f aca="false">IF(OR($T276="",$J276=""),"",$T276-$J276)</f>
        <v/>
      </c>
      <c r="AD276" s="25" t="str">
        <f aca="false">IF(AND($K276="Joined",$U276&lt;&gt;"",$J276&lt;&gt;""),$U276-$J276,"")</f>
        <v/>
      </c>
      <c r="AE276" s="25" t="str">
        <f aca="false">IF($K276="","",IF(OR($K276="Rejected",$K276="Withdrawn"),IFERROR(INDEX(Lists!$B$4:$B$14,MATCH($N276,Lists!$A$4:$A$14,0)),1),IFERROR(INDEX(Lists!$B$4:$B$14,MATCH($K276,Lists!$A$4:$A$14,0)),0)))</f>
        <v/>
      </c>
    </row>
    <row r="277" customFormat="false" ht="15" hidden="false" customHeight="false" outlineLevel="0" collapsed="false">
      <c r="A277" s="25" t="str">
        <f aca="false">IF($B277="","","C-"&amp;TEXT(ROW()-1,"0000"))</f>
        <v/>
      </c>
      <c r="B277" s="21"/>
      <c r="C277" s="21"/>
      <c r="D277" s="21"/>
      <c r="E277" s="21"/>
      <c r="F277" s="25" t="str">
        <f aca="false">IF($E277="","",IFERROR(INDEX(Requisitions!$B$2:$B$101,MATCH($E277,Requisitions!$A$2:$A$101,0)),"Unknown Req"))</f>
        <v/>
      </c>
      <c r="G277" s="25" t="str">
        <f aca="false">IF($E277="","",IFERROR(INDEX(Requisitions!$D$2:$D$101,MATCH($E277,Requisitions!$A$2:$A$101,0)),""))</f>
        <v/>
      </c>
      <c r="H277" s="21"/>
      <c r="I277" s="21"/>
      <c r="J277" s="22"/>
      <c r="K277" s="21"/>
      <c r="L277" s="22"/>
      <c r="M277" s="25" t="str">
        <f aca="false">IF($K277="","",IFERROR(INDEX(Lists!$D$4:$D$14,MATCH($K277,Lists!$A$4:$A$14,0)),"Check stage"))</f>
        <v/>
      </c>
      <c r="N277" s="21"/>
      <c r="O277" s="21"/>
      <c r="P277" s="26"/>
      <c r="Q277" s="26"/>
      <c r="R277" s="21"/>
      <c r="S277" s="21"/>
      <c r="T277" s="22"/>
      <c r="U277" s="22"/>
      <c r="V277" s="24" t="str">
        <f aca="false">IF(OR(N($P277)=0,$Q277=""),"",$Q277/$P277-1)</f>
        <v/>
      </c>
      <c r="W277" s="25" t="str">
        <f aca="true">IF($J277="","",IF($M277="Active",TODAY(),IF($U277&lt;&gt;"",$U277,IF($L277&lt;&gt;"",$L277,TODAY())))-$J277)</f>
        <v/>
      </c>
      <c r="X277" s="25" t="str">
        <f aca="true">IF(OR($L277="",$M277&lt;&gt;"Active"),"",TODAY()-$L277)</f>
        <v/>
      </c>
      <c r="Y277" s="25" t="str">
        <f aca="false">IF($M277&lt;&gt;"Active","",INDEX(Lists!$C$4:$C$14,MATCH($K277,Lists!$A$4:$A$14,0)))</f>
        <v/>
      </c>
      <c r="Z277" s="25" t="str">
        <f aca="false">IF($B277="","",IF($M277&lt;&gt;"Active","Closed",IF($X277="","",IF($X277&gt;$Y277,"BREACH","On Track"))))</f>
        <v/>
      </c>
      <c r="AA277" s="25" t="str">
        <f aca="false">IF($K277="","",IFERROR(INDEX(Lists!$E$4:$E$14,MATCH($K277,Lists!$A$4:$A$14,0)),""))</f>
        <v/>
      </c>
      <c r="AB277" s="27" t="str">
        <f aca="false">IF($U277&lt;&gt;"",$U277,IF(OR($T277="",$M277&lt;&gt;"Active"),"",$T277+N($R277)))</f>
        <v/>
      </c>
      <c r="AC277" s="25" t="str">
        <f aca="false">IF(OR($T277="",$J277=""),"",$T277-$J277)</f>
        <v/>
      </c>
      <c r="AD277" s="25" t="str">
        <f aca="false">IF(AND($K277="Joined",$U277&lt;&gt;"",$J277&lt;&gt;""),$U277-$J277,"")</f>
        <v/>
      </c>
      <c r="AE277" s="25" t="str">
        <f aca="false">IF($K277="","",IF(OR($K277="Rejected",$K277="Withdrawn"),IFERROR(INDEX(Lists!$B$4:$B$14,MATCH($N277,Lists!$A$4:$A$14,0)),1),IFERROR(INDEX(Lists!$B$4:$B$14,MATCH($K277,Lists!$A$4:$A$14,0)),0)))</f>
        <v/>
      </c>
    </row>
    <row r="278" customFormat="false" ht="15" hidden="false" customHeight="false" outlineLevel="0" collapsed="false">
      <c r="A278" s="25" t="str">
        <f aca="false">IF($B278="","","C-"&amp;TEXT(ROW()-1,"0000"))</f>
        <v/>
      </c>
      <c r="B278" s="21"/>
      <c r="C278" s="21"/>
      <c r="D278" s="21"/>
      <c r="E278" s="21"/>
      <c r="F278" s="25" t="str">
        <f aca="false">IF($E278="","",IFERROR(INDEX(Requisitions!$B$2:$B$101,MATCH($E278,Requisitions!$A$2:$A$101,0)),"Unknown Req"))</f>
        <v/>
      </c>
      <c r="G278" s="25" t="str">
        <f aca="false">IF($E278="","",IFERROR(INDEX(Requisitions!$D$2:$D$101,MATCH($E278,Requisitions!$A$2:$A$101,0)),""))</f>
        <v/>
      </c>
      <c r="H278" s="21"/>
      <c r="I278" s="21"/>
      <c r="J278" s="22"/>
      <c r="K278" s="21"/>
      <c r="L278" s="22"/>
      <c r="M278" s="25" t="str">
        <f aca="false">IF($K278="","",IFERROR(INDEX(Lists!$D$4:$D$14,MATCH($K278,Lists!$A$4:$A$14,0)),"Check stage"))</f>
        <v/>
      </c>
      <c r="N278" s="21"/>
      <c r="O278" s="21"/>
      <c r="P278" s="26"/>
      <c r="Q278" s="26"/>
      <c r="R278" s="21"/>
      <c r="S278" s="21"/>
      <c r="T278" s="22"/>
      <c r="U278" s="22"/>
      <c r="V278" s="24" t="str">
        <f aca="false">IF(OR(N($P278)=0,$Q278=""),"",$Q278/$P278-1)</f>
        <v/>
      </c>
      <c r="W278" s="25" t="str">
        <f aca="true">IF($J278="","",IF($M278="Active",TODAY(),IF($U278&lt;&gt;"",$U278,IF($L278&lt;&gt;"",$L278,TODAY())))-$J278)</f>
        <v/>
      </c>
      <c r="X278" s="25" t="str">
        <f aca="true">IF(OR($L278="",$M278&lt;&gt;"Active"),"",TODAY()-$L278)</f>
        <v/>
      </c>
      <c r="Y278" s="25" t="str">
        <f aca="false">IF($M278&lt;&gt;"Active","",INDEX(Lists!$C$4:$C$14,MATCH($K278,Lists!$A$4:$A$14,0)))</f>
        <v/>
      </c>
      <c r="Z278" s="25" t="str">
        <f aca="false">IF($B278="","",IF($M278&lt;&gt;"Active","Closed",IF($X278="","",IF($X278&gt;$Y278,"BREACH","On Track"))))</f>
        <v/>
      </c>
      <c r="AA278" s="25" t="str">
        <f aca="false">IF($K278="","",IFERROR(INDEX(Lists!$E$4:$E$14,MATCH($K278,Lists!$A$4:$A$14,0)),""))</f>
        <v/>
      </c>
      <c r="AB278" s="27" t="str">
        <f aca="false">IF($U278&lt;&gt;"",$U278,IF(OR($T278="",$M278&lt;&gt;"Active"),"",$T278+N($R278)))</f>
        <v/>
      </c>
      <c r="AC278" s="25" t="str">
        <f aca="false">IF(OR($T278="",$J278=""),"",$T278-$J278)</f>
        <v/>
      </c>
      <c r="AD278" s="25" t="str">
        <f aca="false">IF(AND($K278="Joined",$U278&lt;&gt;"",$J278&lt;&gt;""),$U278-$J278,"")</f>
        <v/>
      </c>
      <c r="AE278" s="25" t="str">
        <f aca="false">IF($K278="","",IF(OR($K278="Rejected",$K278="Withdrawn"),IFERROR(INDEX(Lists!$B$4:$B$14,MATCH($N278,Lists!$A$4:$A$14,0)),1),IFERROR(INDEX(Lists!$B$4:$B$14,MATCH($K278,Lists!$A$4:$A$14,0)),0)))</f>
        <v/>
      </c>
    </row>
    <row r="279" customFormat="false" ht="15" hidden="false" customHeight="false" outlineLevel="0" collapsed="false">
      <c r="A279" s="25" t="str">
        <f aca="false">IF($B279="","","C-"&amp;TEXT(ROW()-1,"0000"))</f>
        <v/>
      </c>
      <c r="B279" s="21"/>
      <c r="C279" s="21"/>
      <c r="D279" s="21"/>
      <c r="E279" s="21"/>
      <c r="F279" s="25" t="str">
        <f aca="false">IF($E279="","",IFERROR(INDEX(Requisitions!$B$2:$B$101,MATCH($E279,Requisitions!$A$2:$A$101,0)),"Unknown Req"))</f>
        <v/>
      </c>
      <c r="G279" s="25" t="str">
        <f aca="false">IF($E279="","",IFERROR(INDEX(Requisitions!$D$2:$D$101,MATCH($E279,Requisitions!$A$2:$A$101,0)),""))</f>
        <v/>
      </c>
      <c r="H279" s="21"/>
      <c r="I279" s="21"/>
      <c r="J279" s="22"/>
      <c r="K279" s="21"/>
      <c r="L279" s="22"/>
      <c r="M279" s="25" t="str">
        <f aca="false">IF($K279="","",IFERROR(INDEX(Lists!$D$4:$D$14,MATCH($K279,Lists!$A$4:$A$14,0)),"Check stage"))</f>
        <v/>
      </c>
      <c r="N279" s="21"/>
      <c r="O279" s="21"/>
      <c r="P279" s="26"/>
      <c r="Q279" s="26"/>
      <c r="R279" s="21"/>
      <c r="S279" s="21"/>
      <c r="T279" s="22"/>
      <c r="U279" s="22"/>
      <c r="V279" s="24" t="str">
        <f aca="false">IF(OR(N($P279)=0,$Q279=""),"",$Q279/$P279-1)</f>
        <v/>
      </c>
      <c r="W279" s="25" t="str">
        <f aca="true">IF($J279="","",IF($M279="Active",TODAY(),IF($U279&lt;&gt;"",$U279,IF($L279&lt;&gt;"",$L279,TODAY())))-$J279)</f>
        <v/>
      </c>
      <c r="X279" s="25" t="str">
        <f aca="true">IF(OR($L279="",$M279&lt;&gt;"Active"),"",TODAY()-$L279)</f>
        <v/>
      </c>
      <c r="Y279" s="25" t="str">
        <f aca="false">IF($M279&lt;&gt;"Active","",INDEX(Lists!$C$4:$C$14,MATCH($K279,Lists!$A$4:$A$14,0)))</f>
        <v/>
      </c>
      <c r="Z279" s="25" t="str">
        <f aca="false">IF($B279="","",IF($M279&lt;&gt;"Active","Closed",IF($X279="","",IF($X279&gt;$Y279,"BREACH","On Track"))))</f>
        <v/>
      </c>
      <c r="AA279" s="25" t="str">
        <f aca="false">IF($K279="","",IFERROR(INDEX(Lists!$E$4:$E$14,MATCH($K279,Lists!$A$4:$A$14,0)),""))</f>
        <v/>
      </c>
      <c r="AB279" s="27" t="str">
        <f aca="false">IF($U279&lt;&gt;"",$U279,IF(OR($T279="",$M279&lt;&gt;"Active"),"",$T279+N($R279)))</f>
        <v/>
      </c>
      <c r="AC279" s="25" t="str">
        <f aca="false">IF(OR($T279="",$J279=""),"",$T279-$J279)</f>
        <v/>
      </c>
      <c r="AD279" s="25" t="str">
        <f aca="false">IF(AND($K279="Joined",$U279&lt;&gt;"",$J279&lt;&gt;""),$U279-$J279,"")</f>
        <v/>
      </c>
      <c r="AE279" s="25" t="str">
        <f aca="false">IF($K279="","",IF(OR($K279="Rejected",$K279="Withdrawn"),IFERROR(INDEX(Lists!$B$4:$B$14,MATCH($N279,Lists!$A$4:$A$14,0)),1),IFERROR(INDEX(Lists!$B$4:$B$14,MATCH($K279,Lists!$A$4:$A$14,0)),0)))</f>
        <v/>
      </c>
    </row>
    <row r="280" customFormat="false" ht="15" hidden="false" customHeight="false" outlineLevel="0" collapsed="false">
      <c r="A280" s="25" t="str">
        <f aca="false">IF($B280="","","C-"&amp;TEXT(ROW()-1,"0000"))</f>
        <v/>
      </c>
      <c r="B280" s="21"/>
      <c r="C280" s="21"/>
      <c r="D280" s="21"/>
      <c r="E280" s="21"/>
      <c r="F280" s="25" t="str">
        <f aca="false">IF($E280="","",IFERROR(INDEX(Requisitions!$B$2:$B$101,MATCH($E280,Requisitions!$A$2:$A$101,0)),"Unknown Req"))</f>
        <v/>
      </c>
      <c r="G280" s="25" t="str">
        <f aca="false">IF($E280="","",IFERROR(INDEX(Requisitions!$D$2:$D$101,MATCH($E280,Requisitions!$A$2:$A$101,0)),""))</f>
        <v/>
      </c>
      <c r="H280" s="21"/>
      <c r="I280" s="21"/>
      <c r="J280" s="22"/>
      <c r="K280" s="21"/>
      <c r="L280" s="22"/>
      <c r="M280" s="25" t="str">
        <f aca="false">IF($K280="","",IFERROR(INDEX(Lists!$D$4:$D$14,MATCH($K280,Lists!$A$4:$A$14,0)),"Check stage"))</f>
        <v/>
      </c>
      <c r="N280" s="21"/>
      <c r="O280" s="21"/>
      <c r="P280" s="26"/>
      <c r="Q280" s="26"/>
      <c r="R280" s="21"/>
      <c r="S280" s="21"/>
      <c r="T280" s="22"/>
      <c r="U280" s="22"/>
      <c r="V280" s="24" t="str">
        <f aca="false">IF(OR(N($P280)=0,$Q280=""),"",$Q280/$P280-1)</f>
        <v/>
      </c>
      <c r="W280" s="25" t="str">
        <f aca="true">IF($J280="","",IF($M280="Active",TODAY(),IF($U280&lt;&gt;"",$U280,IF($L280&lt;&gt;"",$L280,TODAY())))-$J280)</f>
        <v/>
      </c>
      <c r="X280" s="25" t="str">
        <f aca="true">IF(OR($L280="",$M280&lt;&gt;"Active"),"",TODAY()-$L280)</f>
        <v/>
      </c>
      <c r="Y280" s="25" t="str">
        <f aca="false">IF($M280&lt;&gt;"Active","",INDEX(Lists!$C$4:$C$14,MATCH($K280,Lists!$A$4:$A$14,0)))</f>
        <v/>
      </c>
      <c r="Z280" s="25" t="str">
        <f aca="false">IF($B280="","",IF($M280&lt;&gt;"Active","Closed",IF($X280="","",IF($X280&gt;$Y280,"BREACH","On Track"))))</f>
        <v/>
      </c>
      <c r="AA280" s="25" t="str">
        <f aca="false">IF($K280="","",IFERROR(INDEX(Lists!$E$4:$E$14,MATCH($K280,Lists!$A$4:$A$14,0)),""))</f>
        <v/>
      </c>
      <c r="AB280" s="27" t="str">
        <f aca="false">IF($U280&lt;&gt;"",$U280,IF(OR($T280="",$M280&lt;&gt;"Active"),"",$T280+N($R280)))</f>
        <v/>
      </c>
      <c r="AC280" s="25" t="str">
        <f aca="false">IF(OR($T280="",$J280=""),"",$T280-$J280)</f>
        <v/>
      </c>
      <c r="AD280" s="25" t="str">
        <f aca="false">IF(AND($K280="Joined",$U280&lt;&gt;"",$J280&lt;&gt;""),$U280-$J280,"")</f>
        <v/>
      </c>
      <c r="AE280" s="25" t="str">
        <f aca="false">IF($K280="","",IF(OR($K280="Rejected",$K280="Withdrawn"),IFERROR(INDEX(Lists!$B$4:$B$14,MATCH($N280,Lists!$A$4:$A$14,0)),1),IFERROR(INDEX(Lists!$B$4:$B$14,MATCH($K280,Lists!$A$4:$A$14,0)),0)))</f>
        <v/>
      </c>
    </row>
    <row r="281" customFormat="false" ht="15" hidden="false" customHeight="false" outlineLevel="0" collapsed="false">
      <c r="A281" s="25" t="str">
        <f aca="false">IF($B281="","","C-"&amp;TEXT(ROW()-1,"0000"))</f>
        <v/>
      </c>
      <c r="B281" s="21"/>
      <c r="C281" s="21"/>
      <c r="D281" s="21"/>
      <c r="E281" s="21"/>
      <c r="F281" s="25" t="str">
        <f aca="false">IF($E281="","",IFERROR(INDEX(Requisitions!$B$2:$B$101,MATCH($E281,Requisitions!$A$2:$A$101,0)),"Unknown Req"))</f>
        <v/>
      </c>
      <c r="G281" s="25" t="str">
        <f aca="false">IF($E281="","",IFERROR(INDEX(Requisitions!$D$2:$D$101,MATCH($E281,Requisitions!$A$2:$A$101,0)),""))</f>
        <v/>
      </c>
      <c r="H281" s="21"/>
      <c r="I281" s="21"/>
      <c r="J281" s="22"/>
      <c r="K281" s="21"/>
      <c r="L281" s="22"/>
      <c r="M281" s="25" t="str">
        <f aca="false">IF($K281="","",IFERROR(INDEX(Lists!$D$4:$D$14,MATCH($K281,Lists!$A$4:$A$14,0)),"Check stage"))</f>
        <v/>
      </c>
      <c r="N281" s="21"/>
      <c r="O281" s="21"/>
      <c r="P281" s="26"/>
      <c r="Q281" s="26"/>
      <c r="R281" s="21"/>
      <c r="S281" s="21"/>
      <c r="T281" s="22"/>
      <c r="U281" s="22"/>
      <c r="V281" s="24" t="str">
        <f aca="false">IF(OR(N($P281)=0,$Q281=""),"",$Q281/$P281-1)</f>
        <v/>
      </c>
      <c r="W281" s="25" t="str">
        <f aca="true">IF($J281="","",IF($M281="Active",TODAY(),IF($U281&lt;&gt;"",$U281,IF($L281&lt;&gt;"",$L281,TODAY())))-$J281)</f>
        <v/>
      </c>
      <c r="X281" s="25" t="str">
        <f aca="true">IF(OR($L281="",$M281&lt;&gt;"Active"),"",TODAY()-$L281)</f>
        <v/>
      </c>
      <c r="Y281" s="25" t="str">
        <f aca="false">IF($M281&lt;&gt;"Active","",INDEX(Lists!$C$4:$C$14,MATCH($K281,Lists!$A$4:$A$14,0)))</f>
        <v/>
      </c>
      <c r="Z281" s="25" t="str">
        <f aca="false">IF($B281="","",IF($M281&lt;&gt;"Active","Closed",IF($X281="","",IF($X281&gt;$Y281,"BREACH","On Track"))))</f>
        <v/>
      </c>
      <c r="AA281" s="25" t="str">
        <f aca="false">IF($K281="","",IFERROR(INDEX(Lists!$E$4:$E$14,MATCH($K281,Lists!$A$4:$A$14,0)),""))</f>
        <v/>
      </c>
      <c r="AB281" s="27" t="str">
        <f aca="false">IF($U281&lt;&gt;"",$U281,IF(OR($T281="",$M281&lt;&gt;"Active"),"",$T281+N($R281)))</f>
        <v/>
      </c>
      <c r="AC281" s="25" t="str">
        <f aca="false">IF(OR($T281="",$J281=""),"",$T281-$J281)</f>
        <v/>
      </c>
      <c r="AD281" s="25" t="str">
        <f aca="false">IF(AND($K281="Joined",$U281&lt;&gt;"",$J281&lt;&gt;""),$U281-$J281,"")</f>
        <v/>
      </c>
      <c r="AE281" s="25" t="str">
        <f aca="false">IF($K281="","",IF(OR($K281="Rejected",$K281="Withdrawn"),IFERROR(INDEX(Lists!$B$4:$B$14,MATCH($N281,Lists!$A$4:$A$14,0)),1),IFERROR(INDEX(Lists!$B$4:$B$14,MATCH($K281,Lists!$A$4:$A$14,0)),0)))</f>
        <v/>
      </c>
    </row>
    <row r="282" customFormat="false" ht="15" hidden="false" customHeight="false" outlineLevel="0" collapsed="false">
      <c r="A282" s="25" t="str">
        <f aca="false">IF($B282="","","C-"&amp;TEXT(ROW()-1,"0000"))</f>
        <v/>
      </c>
      <c r="B282" s="21"/>
      <c r="C282" s="21"/>
      <c r="D282" s="21"/>
      <c r="E282" s="21"/>
      <c r="F282" s="25" t="str">
        <f aca="false">IF($E282="","",IFERROR(INDEX(Requisitions!$B$2:$B$101,MATCH($E282,Requisitions!$A$2:$A$101,0)),"Unknown Req"))</f>
        <v/>
      </c>
      <c r="G282" s="25" t="str">
        <f aca="false">IF($E282="","",IFERROR(INDEX(Requisitions!$D$2:$D$101,MATCH($E282,Requisitions!$A$2:$A$101,0)),""))</f>
        <v/>
      </c>
      <c r="H282" s="21"/>
      <c r="I282" s="21"/>
      <c r="J282" s="22"/>
      <c r="K282" s="21"/>
      <c r="L282" s="22"/>
      <c r="M282" s="25" t="str">
        <f aca="false">IF($K282="","",IFERROR(INDEX(Lists!$D$4:$D$14,MATCH($K282,Lists!$A$4:$A$14,0)),"Check stage"))</f>
        <v/>
      </c>
      <c r="N282" s="21"/>
      <c r="O282" s="21"/>
      <c r="P282" s="26"/>
      <c r="Q282" s="26"/>
      <c r="R282" s="21"/>
      <c r="S282" s="21"/>
      <c r="T282" s="22"/>
      <c r="U282" s="22"/>
      <c r="V282" s="24" t="str">
        <f aca="false">IF(OR(N($P282)=0,$Q282=""),"",$Q282/$P282-1)</f>
        <v/>
      </c>
      <c r="W282" s="25" t="str">
        <f aca="true">IF($J282="","",IF($M282="Active",TODAY(),IF($U282&lt;&gt;"",$U282,IF($L282&lt;&gt;"",$L282,TODAY())))-$J282)</f>
        <v/>
      </c>
      <c r="X282" s="25" t="str">
        <f aca="true">IF(OR($L282="",$M282&lt;&gt;"Active"),"",TODAY()-$L282)</f>
        <v/>
      </c>
      <c r="Y282" s="25" t="str">
        <f aca="false">IF($M282&lt;&gt;"Active","",INDEX(Lists!$C$4:$C$14,MATCH($K282,Lists!$A$4:$A$14,0)))</f>
        <v/>
      </c>
      <c r="Z282" s="25" t="str">
        <f aca="false">IF($B282="","",IF($M282&lt;&gt;"Active","Closed",IF($X282="","",IF($X282&gt;$Y282,"BREACH","On Track"))))</f>
        <v/>
      </c>
      <c r="AA282" s="25" t="str">
        <f aca="false">IF($K282="","",IFERROR(INDEX(Lists!$E$4:$E$14,MATCH($K282,Lists!$A$4:$A$14,0)),""))</f>
        <v/>
      </c>
      <c r="AB282" s="27" t="str">
        <f aca="false">IF($U282&lt;&gt;"",$U282,IF(OR($T282="",$M282&lt;&gt;"Active"),"",$T282+N($R282)))</f>
        <v/>
      </c>
      <c r="AC282" s="25" t="str">
        <f aca="false">IF(OR($T282="",$J282=""),"",$T282-$J282)</f>
        <v/>
      </c>
      <c r="AD282" s="25" t="str">
        <f aca="false">IF(AND($K282="Joined",$U282&lt;&gt;"",$J282&lt;&gt;""),$U282-$J282,"")</f>
        <v/>
      </c>
      <c r="AE282" s="25" t="str">
        <f aca="false">IF($K282="","",IF(OR($K282="Rejected",$K282="Withdrawn"),IFERROR(INDEX(Lists!$B$4:$B$14,MATCH($N282,Lists!$A$4:$A$14,0)),1),IFERROR(INDEX(Lists!$B$4:$B$14,MATCH($K282,Lists!$A$4:$A$14,0)),0)))</f>
        <v/>
      </c>
    </row>
    <row r="283" customFormat="false" ht="15" hidden="false" customHeight="false" outlineLevel="0" collapsed="false">
      <c r="A283" s="25" t="str">
        <f aca="false">IF($B283="","","C-"&amp;TEXT(ROW()-1,"0000"))</f>
        <v/>
      </c>
      <c r="B283" s="21"/>
      <c r="C283" s="21"/>
      <c r="D283" s="21"/>
      <c r="E283" s="21"/>
      <c r="F283" s="25" t="str">
        <f aca="false">IF($E283="","",IFERROR(INDEX(Requisitions!$B$2:$B$101,MATCH($E283,Requisitions!$A$2:$A$101,0)),"Unknown Req"))</f>
        <v/>
      </c>
      <c r="G283" s="25" t="str">
        <f aca="false">IF($E283="","",IFERROR(INDEX(Requisitions!$D$2:$D$101,MATCH($E283,Requisitions!$A$2:$A$101,0)),""))</f>
        <v/>
      </c>
      <c r="H283" s="21"/>
      <c r="I283" s="21"/>
      <c r="J283" s="22"/>
      <c r="K283" s="21"/>
      <c r="L283" s="22"/>
      <c r="M283" s="25" t="str">
        <f aca="false">IF($K283="","",IFERROR(INDEX(Lists!$D$4:$D$14,MATCH($K283,Lists!$A$4:$A$14,0)),"Check stage"))</f>
        <v/>
      </c>
      <c r="N283" s="21"/>
      <c r="O283" s="21"/>
      <c r="P283" s="26"/>
      <c r="Q283" s="26"/>
      <c r="R283" s="21"/>
      <c r="S283" s="21"/>
      <c r="T283" s="22"/>
      <c r="U283" s="22"/>
      <c r="V283" s="24" t="str">
        <f aca="false">IF(OR(N($P283)=0,$Q283=""),"",$Q283/$P283-1)</f>
        <v/>
      </c>
      <c r="W283" s="25" t="str">
        <f aca="true">IF($J283="","",IF($M283="Active",TODAY(),IF($U283&lt;&gt;"",$U283,IF($L283&lt;&gt;"",$L283,TODAY())))-$J283)</f>
        <v/>
      </c>
      <c r="X283" s="25" t="str">
        <f aca="true">IF(OR($L283="",$M283&lt;&gt;"Active"),"",TODAY()-$L283)</f>
        <v/>
      </c>
      <c r="Y283" s="25" t="str">
        <f aca="false">IF($M283&lt;&gt;"Active","",INDEX(Lists!$C$4:$C$14,MATCH($K283,Lists!$A$4:$A$14,0)))</f>
        <v/>
      </c>
      <c r="Z283" s="25" t="str">
        <f aca="false">IF($B283="","",IF($M283&lt;&gt;"Active","Closed",IF($X283="","",IF($X283&gt;$Y283,"BREACH","On Track"))))</f>
        <v/>
      </c>
      <c r="AA283" s="25" t="str">
        <f aca="false">IF($K283="","",IFERROR(INDEX(Lists!$E$4:$E$14,MATCH($K283,Lists!$A$4:$A$14,0)),""))</f>
        <v/>
      </c>
      <c r="AB283" s="27" t="str">
        <f aca="false">IF($U283&lt;&gt;"",$U283,IF(OR($T283="",$M283&lt;&gt;"Active"),"",$T283+N($R283)))</f>
        <v/>
      </c>
      <c r="AC283" s="25" t="str">
        <f aca="false">IF(OR($T283="",$J283=""),"",$T283-$J283)</f>
        <v/>
      </c>
      <c r="AD283" s="25" t="str">
        <f aca="false">IF(AND($K283="Joined",$U283&lt;&gt;"",$J283&lt;&gt;""),$U283-$J283,"")</f>
        <v/>
      </c>
      <c r="AE283" s="25" t="str">
        <f aca="false">IF($K283="","",IF(OR($K283="Rejected",$K283="Withdrawn"),IFERROR(INDEX(Lists!$B$4:$B$14,MATCH($N283,Lists!$A$4:$A$14,0)),1),IFERROR(INDEX(Lists!$B$4:$B$14,MATCH($K283,Lists!$A$4:$A$14,0)),0)))</f>
        <v/>
      </c>
    </row>
    <row r="284" customFormat="false" ht="15" hidden="false" customHeight="false" outlineLevel="0" collapsed="false">
      <c r="A284" s="25" t="str">
        <f aca="false">IF($B284="","","C-"&amp;TEXT(ROW()-1,"0000"))</f>
        <v/>
      </c>
      <c r="B284" s="21"/>
      <c r="C284" s="21"/>
      <c r="D284" s="21"/>
      <c r="E284" s="21"/>
      <c r="F284" s="25" t="str">
        <f aca="false">IF($E284="","",IFERROR(INDEX(Requisitions!$B$2:$B$101,MATCH($E284,Requisitions!$A$2:$A$101,0)),"Unknown Req"))</f>
        <v/>
      </c>
      <c r="G284" s="25" t="str">
        <f aca="false">IF($E284="","",IFERROR(INDEX(Requisitions!$D$2:$D$101,MATCH($E284,Requisitions!$A$2:$A$101,0)),""))</f>
        <v/>
      </c>
      <c r="H284" s="21"/>
      <c r="I284" s="21"/>
      <c r="J284" s="22"/>
      <c r="K284" s="21"/>
      <c r="L284" s="22"/>
      <c r="M284" s="25" t="str">
        <f aca="false">IF($K284="","",IFERROR(INDEX(Lists!$D$4:$D$14,MATCH($K284,Lists!$A$4:$A$14,0)),"Check stage"))</f>
        <v/>
      </c>
      <c r="N284" s="21"/>
      <c r="O284" s="21"/>
      <c r="P284" s="26"/>
      <c r="Q284" s="26"/>
      <c r="R284" s="21"/>
      <c r="S284" s="21"/>
      <c r="T284" s="22"/>
      <c r="U284" s="22"/>
      <c r="V284" s="24" t="str">
        <f aca="false">IF(OR(N($P284)=0,$Q284=""),"",$Q284/$P284-1)</f>
        <v/>
      </c>
      <c r="W284" s="25" t="str">
        <f aca="true">IF($J284="","",IF($M284="Active",TODAY(),IF($U284&lt;&gt;"",$U284,IF($L284&lt;&gt;"",$L284,TODAY())))-$J284)</f>
        <v/>
      </c>
      <c r="X284" s="25" t="str">
        <f aca="true">IF(OR($L284="",$M284&lt;&gt;"Active"),"",TODAY()-$L284)</f>
        <v/>
      </c>
      <c r="Y284" s="25" t="str">
        <f aca="false">IF($M284&lt;&gt;"Active","",INDEX(Lists!$C$4:$C$14,MATCH($K284,Lists!$A$4:$A$14,0)))</f>
        <v/>
      </c>
      <c r="Z284" s="25" t="str">
        <f aca="false">IF($B284="","",IF($M284&lt;&gt;"Active","Closed",IF($X284="","",IF($X284&gt;$Y284,"BREACH","On Track"))))</f>
        <v/>
      </c>
      <c r="AA284" s="25" t="str">
        <f aca="false">IF($K284="","",IFERROR(INDEX(Lists!$E$4:$E$14,MATCH($K284,Lists!$A$4:$A$14,0)),""))</f>
        <v/>
      </c>
      <c r="AB284" s="27" t="str">
        <f aca="false">IF($U284&lt;&gt;"",$U284,IF(OR($T284="",$M284&lt;&gt;"Active"),"",$T284+N($R284)))</f>
        <v/>
      </c>
      <c r="AC284" s="25" t="str">
        <f aca="false">IF(OR($T284="",$J284=""),"",$T284-$J284)</f>
        <v/>
      </c>
      <c r="AD284" s="25" t="str">
        <f aca="false">IF(AND($K284="Joined",$U284&lt;&gt;"",$J284&lt;&gt;""),$U284-$J284,"")</f>
        <v/>
      </c>
      <c r="AE284" s="25" t="str">
        <f aca="false">IF($K284="","",IF(OR($K284="Rejected",$K284="Withdrawn"),IFERROR(INDEX(Lists!$B$4:$B$14,MATCH($N284,Lists!$A$4:$A$14,0)),1),IFERROR(INDEX(Lists!$B$4:$B$14,MATCH($K284,Lists!$A$4:$A$14,0)),0)))</f>
        <v/>
      </c>
    </row>
    <row r="285" customFormat="false" ht="15" hidden="false" customHeight="false" outlineLevel="0" collapsed="false">
      <c r="A285" s="25" t="str">
        <f aca="false">IF($B285="","","C-"&amp;TEXT(ROW()-1,"0000"))</f>
        <v/>
      </c>
      <c r="B285" s="21"/>
      <c r="C285" s="21"/>
      <c r="D285" s="21"/>
      <c r="E285" s="21"/>
      <c r="F285" s="25" t="str">
        <f aca="false">IF($E285="","",IFERROR(INDEX(Requisitions!$B$2:$B$101,MATCH($E285,Requisitions!$A$2:$A$101,0)),"Unknown Req"))</f>
        <v/>
      </c>
      <c r="G285" s="25" t="str">
        <f aca="false">IF($E285="","",IFERROR(INDEX(Requisitions!$D$2:$D$101,MATCH($E285,Requisitions!$A$2:$A$101,0)),""))</f>
        <v/>
      </c>
      <c r="H285" s="21"/>
      <c r="I285" s="21"/>
      <c r="J285" s="22"/>
      <c r="K285" s="21"/>
      <c r="L285" s="22"/>
      <c r="M285" s="25" t="str">
        <f aca="false">IF($K285="","",IFERROR(INDEX(Lists!$D$4:$D$14,MATCH($K285,Lists!$A$4:$A$14,0)),"Check stage"))</f>
        <v/>
      </c>
      <c r="N285" s="21"/>
      <c r="O285" s="21"/>
      <c r="P285" s="26"/>
      <c r="Q285" s="26"/>
      <c r="R285" s="21"/>
      <c r="S285" s="21"/>
      <c r="T285" s="22"/>
      <c r="U285" s="22"/>
      <c r="V285" s="24" t="str">
        <f aca="false">IF(OR(N($P285)=0,$Q285=""),"",$Q285/$P285-1)</f>
        <v/>
      </c>
      <c r="W285" s="25" t="str">
        <f aca="true">IF($J285="","",IF($M285="Active",TODAY(),IF($U285&lt;&gt;"",$U285,IF($L285&lt;&gt;"",$L285,TODAY())))-$J285)</f>
        <v/>
      </c>
      <c r="X285" s="25" t="str">
        <f aca="true">IF(OR($L285="",$M285&lt;&gt;"Active"),"",TODAY()-$L285)</f>
        <v/>
      </c>
      <c r="Y285" s="25" t="str">
        <f aca="false">IF($M285&lt;&gt;"Active","",INDEX(Lists!$C$4:$C$14,MATCH($K285,Lists!$A$4:$A$14,0)))</f>
        <v/>
      </c>
      <c r="Z285" s="25" t="str">
        <f aca="false">IF($B285="","",IF($M285&lt;&gt;"Active","Closed",IF($X285="","",IF($X285&gt;$Y285,"BREACH","On Track"))))</f>
        <v/>
      </c>
      <c r="AA285" s="25" t="str">
        <f aca="false">IF($K285="","",IFERROR(INDEX(Lists!$E$4:$E$14,MATCH($K285,Lists!$A$4:$A$14,0)),""))</f>
        <v/>
      </c>
      <c r="AB285" s="27" t="str">
        <f aca="false">IF($U285&lt;&gt;"",$U285,IF(OR($T285="",$M285&lt;&gt;"Active"),"",$T285+N($R285)))</f>
        <v/>
      </c>
      <c r="AC285" s="25" t="str">
        <f aca="false">IF(OR($T285="",$J285=""),"",$T285-$J285)</f>
        <v/>
      </c>
      <c r="AD285" s="25" t="str">
        <f aca="false">IF(AND($K285="Joined",$U285&lt;&gt;"",$J285&lt;&gt;""),$U285-$J285,"")</f>
        <v/>
      </c>
      <c r="AE285" s="25" t="str">
        <f aca="false">IF($K285="","",IF(OR($K285="Rejected",$K285="Withdrawn"),IFERROR(INDEX(Lists!$B$4:$B$14,MATCH($N285,Lists!$A$4:$A$14,0)),1),IFERROR(INDEX(Lists!$B$4:$B$14,MATCH($K285,Lists!$A$4:$A$14,0)),0)))</f>
        <v/>
      </c>
    </row>
    <row r="286" customFormat="false" ht="15" hidden="false" customHeight="false" outlineLevel="0" collapsed="false">
      <c r="A286" s="25" t="str">
        <f aca="false">IF($B286="","","C-"&amp;TEXT(ROW()-1,"0000"))</f>
        <v/>
      </c>
      <c r="B286" s="21"/>
      <c r="C286" s="21"/>
      <c r="D286" s="21"/>
      <c r="E286" s="21"/>
      <c r="F286" s="25" t="str">
        <f aca="false">IF($E286="","",IFERROR(INDEX(Requisitions!$B$2:$B$101,MATCH($E286,Requisitions!$A$2:$A$101,0)),"Unknown Req"))</f>
        <v/>
      </c>
      <c r="G286" s="25" t="str">
        <f aca="false">IF($E286="","",IFERROR(INDEX(Requisitions!$D$2:$D$101,MATCH($E286,Requisitions!$A$2:$A$101,0)),""))</f>
        <v/>
      </c>
      <c r="H286" s="21"/>
      <c r="I286" s="21"/>
      <c r="J286" s="22"/>
      <c r="K286" s="21"/>
      <c r="L286" s="22"/>
      <c r="M286" s="25" t="str">
        <f aca="false">IF($K286="","",IFERROR(INDEX(Lists!$D$4:$D$14,MATCH($K286,Lists!$A$4:$A$14,0)),"Check stage"))</f>
        <v/>
      </c>
      <c r="N286" s="21"/>
      <c r="O286" s="21"/>
      <c r="P286" s="26"/>
      <c r="Q286" s="26"/>
      <c r="R286" s="21"/>
      <c r="S286" s="21"/>
      <c r="T286" s="22"/>
      <c r="U286" s="22"/>
      <c r="V286" s="24" t="str">
        <f aca="false">IF(OR(N($P286)=0,$Q286=""),"",$Q286/$P286-1)</f>
        <v/>
      </c>
      <c r="W286" s="25" t="str">
        <f aca="true">IF($J286="","",IF($M286="Active",TODAY(),IF($U286&lt;&gt;"",$U286,IF($L286&lt;&gt;"",$L286,TODAY())))-$J286)</f>
        <v/>
      </c>
      <c r="X286" s="25" t="str">
        <f aca="true">IF(OR($L286="",$M286&lt;&gt;"Active"),"",TODAY()-$L286)</f>
        <v/>
      </c>
      <c r="Y286" s="25" t="str">
        <f aca="false">IF($M286&lt;&gt;"Active","",INDEX(Lists!$C$4:$C$14,MATCH($K286,Lists!$A$4:$A$14,0)))</f>
        <v/>
      </c>
      <c r="Z286" s="25" t="str">
        <f aca="false">IF($B286="","",IF($M286&lt;&gt;"Active","Closed",IF($X286="","",IF($X286&gt;$Y286,"BREACH","On Track"))))</f>
        <v/>
      </c>
      <c r="AA286" s="25" t="str">
        <f aca="false">IF($K286="","",IFERROR(INDEX(Lists!$E$4:$E$14,MATCH($K286,Lists!$A$4:$A$14,0)),""))</f>
        <v/>
      </c>
      <c r="AB286" s="27" t="str">
        <f aca="false">IF($U286&lt;&gt;"",$U286,IF(OR($T286="",$M286&lt;&gt;"Active"),"",$T286+N($R286)))</f>
        <v/>
      </c>
      <c r="AC286" s="25" t="str">
        <f aca="false">IF(OR($T286="",$J286=""),"",$T286-$J286)</f>
        <v/>
      </c>
      <c r="AD286" s="25" t="str">
        <f aca="false">IF(AND($K286="Joined",$U286&lt;&gt;"",$J286&lt;&gt;""),$U286-$J286,"")</f>
        <v/>
      </c>
      <c r="AE286" s="25" t="str">
        <f aca="false">IF($K286="","",IF(OR($K286="Rejected",$K286="Withdrawn"),IFERROR(INDEX(Lists!$B$4:$B$14,MATCH($N286,Lists!$A$4:$A$14,0)),1),IFERROR(INDEX(Lists!$B$4:$B$14,MATCH($K286,Lists!$A$4:$A$14,0)),0)))</f>
        <v/>
      </c>
    </row>
    <row r="287" customFormat="false" ht="15" hidden="false" customHeight="false" outlineLevel="0" collapsed="false">
      <c r="A287" s="25" t="str">
        <f aca="false">IF($B287="","","C-"&amp;TEXT(ROW()-1,"0000"))</f>
        <v/>
      </c>
      <c r="B287" s="21"/>
      <c r="C287" s="21"/>
      <c r="D287" s="21"/>
      <c r="E287" s="21"/>
      <c r="F287" s="25" t="str">
        <f aca="false">IF($E287="","",IFERROR(INDEX(Requisitions!$B$2:$B$101,MATCH($E287,Requisitions!$A$2:$A$101,0)),"Unknown Req"))</f>
        <v/>
      </c>
      <c r="G287" s="25" t="str">
        <f aca="false">IF($E287="","",IFERROR(INDEX(Requisitions!$D$2:$D$101,MATCH($E287,Requisitions!$A$2:$A$101,0)),""))</f>
        <v/>
      </c>
      <c r="H287" s="21"/>
      <c r="I287" s="21"/>
      <c r="J287" s="22"/>
      <c r="K287" s="21"/>
      <c r="L287" s="22"/>
      <c r="M287" s="25" t="str">
        <f aca="false">IF($K287="","",IFERROR(INDEX(Lists!$D$4:$D$14,MATCH($K287,Lists!$A$4:$A$14,0)),"Check stage"))</f>
        <v/>
      </c>
      <c r="N287" s="21"/>
      <c r="O287" s="21"/>
      <c r="P287" s="26"/>
      <c r="Q287" s="26"/>
      <c r="R287" s="21"/>
      <c r="S287" s="21"/>
      <c r="T287" s="22"/>
      <c r="U287" s="22"/>
      <c r="V287" s="24" t="str">
        <f aca="false">IF(OR(N($P287)=0,$Q287=""),"",$Q287/$P287-1)</f>
        <v/>
      </c>
      <c r="W287" s="25" t="str">
        <f aca="true">IF($J287="","",IF($M287="Active",TODAY(),IF($U287&lt;&gt;"",$U287,IF($L287&lt;&gt;"",$L287,TODAY())))-$J287)</f>
        <v/>
      </c>
      <c r="X287" s="25" t="str">
        <f aca="true">IF(OR($L287="",$M287&lt;&gt;"Active"),"",TODAY()-$L287)</f>
        <v/>
      </c>
      <c r="Y287" s="25" t="str">
        <f aca="false">IF($M287&lt;&gt;"Active","",INDEX(Lists!$C$4:$C$14,MATCH($K287,Lists!$A$4:$A$14,0)))</f>
        <v/>
      </c>
      <c r="Z287" s="25" t="str">
        <f aca="false">IF($B287="","",IF($M287&lt;&gt;"Active","Closed",IF($X287="","",IF($X287&gt;$Y287,"BREACH","On Track"))))</f>
        <v/>
      </c>
      <c r="AA287" s="25" t="str">
        <f aca="false">IF($K287="","",IFERROR(INDEX(Lists!$E$4:$E$14,MATCH($K287,Lists!$A$4:$A$14,0)),""))</f>
        <v/>
      </c>
      <c r="AB287" s="27" t="str">
        <f aca="false">IF($U287&lt;&gt;"",$U287,IF(OR($T287="",$M287&lt;&gt;"Active"),"",$T287+N($R287)))</f>
        <v/>
      </c>
      <c r="AC287" s="25" t="str">
        <f aca="false">IF(OR($T287="",$J287=""),"",$T287-$J287)</f>
        <v/>
      </c>
      <c r="AD287" s="25" t="str">
        <f aca="false">IF(AND($K287="Joined",$U287&lt;&gt;"",$J287&lt;&gt;""),$U287-$J287,"")</f>
        <v/>
      </c>
      <c r="AE287" s="25" t="str">
        <f aca="false">IF($K287="","",IF(OR($K287="Rejected",$K287="Withdrawn"),IFERROR(INDEX(Lists!$B$4:$B$14,MATCH($N287,Lists!$A$4:$A$14,0)),1),IFERROR(INDEX(Lists!$B$4:$B$14,MATCH($K287,Lists!$A$4:$A$14,0)),0)))</f>
        <v/>
      </c>
    </row>
    <row r="288" customFormat="false" ht="15" hidden="false" customHeight="false" outlineLevel="0" collapsed="false">
      <c r="A288" s="25" t="str">
        <f aca="false">IF($B288="","","C-"&amp;TEXT(ROW()-1,"0000"))</f>
        <v/>
      </c>
      <c r="B288" s="21"/>
      <c r="C288" s="21"/>
      <c r="D288" s="21"/>
      <c r="E288" s="21"/>
      <c r="F288" s="25" t="str">
        <f aca="false">IF($E288="","",IFERROR(INDEX(Requisitions!$B$2:$B$101,MATCH($E288,Requisitions!$A$2:$A$101,0)),"Unknown Req"))</f>
        <v/>
      </c>
      <c r="G288" s="25" t="str">
        <f aca="false">IF($E288="","",IFERROR(INDEX(Requisitions!$D$2:$D$101,MATCH($E288,Requisitions!$A$2:$A$101,0)),""))</f>
        <v/>
      </c>
      <c r="H288" s="21"/>
      <c r="I288" s="21"/>
      <c r="J288" s="22"/>
      <c r="K288" s="21"/>
      <c r="L288" s="22"/>
      <c r="M288" s="25" t="str">
        <f aca="false">IF($K288="","",IFERROR(INDEX(Lists!$D$4:$D$14,MATCH($K288,Lists!$A$4:$A$14,0)),"Check stage"))</f>
        <v/>
      </c>
      <c r="N288" s="21"/>
      <c r="O288" s="21"/>
      <c r="P288" s="26"/>
      <c r="Q288" s="26"/>
      <c r="R288" s="21"/>
      <c r="S288" s="21"/>
      <c r="T288" s="22"/>
      <c r="U288" s="22"/>
      <c r="V288" s="24" t="str">
        <f aca="false">IF(OR(N($P288)=0,$Q288=""),"",$Q288/$P288-1)</f>
        <v/>
      </c>
      <c r="W288" s="25" t="str">
        <f aca="true">IF($J288="","",IF($M288="Active",TODAY(),IF($U288&lt;&gt;"",$U288,IF($L288&lt;&gt;"",$L288,TODAY())))-$J288)</f>
        <v/>
      </c>
      <c r="X288" s="25" t="str">
        <f aca="true">IF(OR($L288="",$M288&lt;&gt;"Active"),"",TODAY()-$L288)</f>
        <v/>
      </c>
      <c r="Y288" s="25" t="str">
        <f aca="false">IF($M288&lt;&gt;"Active","",INDEX(Lists!$C$4:$C$14,MATCH($K288,Lists!$A$4:$A$14,0)))</f>
        <v/>
      </c>
      <c r="Z288" s="25" t="str">
        <f aca="false">IF($B288="","",IF($M288&lt;&gt;"Active","Closed",IF($X288="","",IF($X288&gt;$Y288,"BREACH","On Track"))))</f>
        <v/>
      </c>
      <c r="AA288" s="25" t="str">
        <f aca="false">IF($K288="","",IFERROR(INDEX(Lists!$E$4:$E$14,MATCH($K288,Lists!$A$4:$A$14,0)),""))</f>
        <v/>
      </c>
      <c r="AB288" s="27" t="str">
        <f aca="false">IF($U288&lt;&gt;"",$U288,IF(OR($T288="",$M288&lt;&gt;"Active"),"",$T288+N($R288)))</f>
        <v/>
      </c>
      <c r="AC288" s="25" t="str">
        <f aca="false">IF(OR($T288="",$J288=""),"",$T288-$J288)</f>
        <v/>
      </c>
      <c r="AD288" s="25" t="str">
        <f aca="false">IF(AND($K288="Joined",$U288&lt;&gt;"",$J288&lt;&gt;""),$U288-$J288,"")</f>
        <v/>
      </c>
      <c r="AE288" s="25" t="str">
        <f aca="false">IF($K288="","",IF(OR($K288="Rejected",$K288="Withdrawn"),IFERROR(INDEX(Lists!$B$4:$B$14,MATCH($N288,Lists!$A$4:$A$14,0)),1),IFERROR(INDEX(Lists!$B$4:$B$14,MATCH($K288,Lists!$A$4:$A$14,0)),0)))</f>
        <v/>
      </c>
    </row>
    <row r="289" customFormat="false" ht="15" hidden="false" customHeight="false" outlineLevel="0" collapsed="false">
      <c r="A289" s="25" t="str">
        <f aca="false">IF($B289="","","C-"&amp;TEXT(ROW()-1,"0000"))</f>
        <v/>
      </c>
      <c r="B289" s="21"/>
      <c r="C289" s="21"/>
      <c r="D289" s="21"/>
      <c r="E289" s="21"/>
      <c r="F289" s="25" t="str">
        <f aca="false">IF($E289="","",IFERROR(INDEX(Requisitions!$B$2:$B$101,MATCH($E289,Requisitions!$A$2:$A$101,0)),"Unknown Req"))</f>
        <v/>
      </c>
      <c r="G289" s="25" t="str">
        <f aca="false">IF($E289="","",IFERROR(INDEX(Requisitions!$D$2:$D$101,MATCH($E289,Requisitions!$A$2:$A$101,0)),""))</f>
        <v/>
      </c>
      <c r="H289" s="21"/>
      <c r="I289" s="21"/>
      <c r="J289" s="22"/>
      <c r="K289" s="21"/>
      <c r="L289" s="22"/>
      <c r="M289" s="25" t="str">
        <f aca="false">IF($K289="","",IFERROR(INDEX(Lists!$D$4:$D$14,MATCH($K289,Lists!$A$4:$A$14,0)),"Check stage"))</f>
        <v/>
      </c>
      <c r="N289" s="21"/>
      <c r="O289" s="21"/>
      <c r="P289" s="26"/>
      <c r="Q289" s="26"/>
      <c r="R289" s="21"/>
      <c r="S289" s="21"/>
      <c r="T289" s="22"/>
      <c r="U289" s="22"/>
      <c r="V289" s="24" t="str">
        <f aca="false">IF(OR(N($P289)=0,$Q289=""),"",$Q289/$P289-1)</f>
        <v/>
      </c>
      <c r="W289" s="25" t="str">
        <f aca="true">IF($J289="","",IF($M289="Active",TODAY(),IF($U289&lt;&gt;"",$U289,IF($L289&lt;&gt;"",$L289,TODAY())))-$J289)</f>
        <v/>
      </c>
      <c r="X289" s="25" t="str">
        <f aca="true">IF(OR($L289="",$M289&lt;&gt;"Active"),"",TODAY()-$L289)</f>
        <v/>
      </c>
      <c r="Y289" s="25" t="str">
        <f aca="false">IF($M289&lt;&gt;"Active","",INDEX(Lists!$C$4:$C$14,MATCH($K289,Lists!$A$4:$A$14,0)))</f>
        <v/>
      </c>
      <c r="Z289" s="25" t="str">
        <f aca="false">IF($B289="","",IF($M289&lt;&gt;"Active","Closed",IF($X289="","",IF($X289&gt;$Y289,"BREACH","On Track"))))</f>
        <v/>
      </c>
      <c r="AA289" s="25" t="str">
        <f aca="false">IF($K289="","",IFERROR(INDEX(Lists!$E$4:$E$14,MATCH($K289,Lists!$A$4:$A$14,0)),""))</f>
        <v/>
      </c>
      <c r="AB289" s="27" t="str">
        <f aca="false">IF($U289&lt;&gt;"",$U289,IF(OR($T289="",$M289&lt;&gt;"Active"),"",$T289+N($R289)))</f>
        <v/>
      </c>
      <c r="AC289" s="25" t="str">
        <f aca="false">IF(OR($T289="",$J289=""),"",$T289-$J289)</f>
        <v/>
      </c>
      <c r="AD289" s="25" t="str">
        <f aca="false">IF(AND($K289="Joined",$U289&lt;&gt;"",$J289&lt;&gt;""),$U289-$J289,"")</f>
        <v/>
      </c>
      <c r="AE289" s="25" t="str">
        <f aca="false">IF($K289="","",IF(OR($K289="Rejected",$K289="Withdrawn"),IFERROR(INDEX(Lists!$B$4:$B$14,MATCH($N289,Lists!$A$4:$A$14,0)),1),IFERROR(INDEX(Lists!$B$4:$B$14,MATCH($K289,Lists!$A$4:$A$14,0)),0)))</f>
        <v/>
      </c>
    </row>
    <row r="290" customFormat="false" ht="15" hidden="false" customHeight="false" outlineLevel="0" collapsed="false">
      <c r="A290" s="25" t="str">
        <f aca="false">IF($B290="","","C-"&amp;TEXT(ROW()-1,"0000"))</f>
        <v/>
      </c>
      <c r="B290" s="21"/>
      <c r="C290" s="21"/>
      <c r="D290" s="21"/>
      <c r="E290" s="21"/>
      <c r="F290" s="25" t="str">
        <f aca="false">IF($E290="","",IFERROR(INDEX(Requisitions!$B$2:$B$101,MATCH($E290,Requisitions!$A$2:$A$101,0)),"Unknown Req"))</f>
        <v/>
      </c>
      <c r="G290" s="25" t="str">
        <f aca="false">IF($E290="","",IFERROR(INDEX(Requisitions!$D$2:$D$101,MATCH($E290,Requisitions!$A$2:$A$101,0)),""))</f>
        <v/>
      </c>
      <c r="H290" s="21"/>
      <c r="I290" s="21"/>
      <c r="J290" s="22"/>
      <c r="K290" s="21"/>
      <c r="L290" s="22"/>
      <c r="M290" s="25" t="str">
        <f aca="false">IF($K290="","",IFERROR(INDEX(Lists!$D$4:$D$14,MATCH($K290,Lists!$A$4:$A$14,0)),"Check stage"))</f>
        <v/>
      </c>
      <c r="N290" s="21"/>
      <c r="O290" s="21"/>
      <c r="P290" s="26"/>
      <c r="Q290" s="26"/>
      <c r="R290" s="21"/>
      <c r="S290" s="21"/>
      <c r="T290" s="22"/>
      <c r="U290" s="22"/>
      <c r="V290" s="24" t="str">
        <f aca="false">IF(OR(N($P290)=0,$Q290=""),"",$Q290/$P290-1)</f>
        <v/>
      </c>
      <c r="W290" s="25" t="str">
        <f aca="true">IF($J290="","",IF($M290="Active",TODAY(),IF($U290&lt;&gt;"",$U290,IF($L290&lt;&gt;"",$L290,TODAY())))-$J290)</f>
        <v/>
      </c>
      <c r="X290" s="25" t="str">
        <f aca="true">IF(OR($L290="",$M290&lt;&gt;"Active"),"",TODAY()-$L290)</f>
        <v/>
      </c>
      <c r="Y290" s="25" t="str">
        <f aca="false">IF($M290&lt;&gt;"Active","",INDEX(Lists!$C$4:$C$14,MATCH($K290,Lists!$A$4:$A$14,0)))</f>
        <v/>
      </c>
      <c r="Z290" s="25" t="str">
        <f aca="false">IF($B290="","",IF($M290&lt;&gt;"Active","Closed",IF($X290="","",IF($X290&gt;$Y290,"BREACH","On Track"))))</f>
        <v/>
      </c>
      <c r="AA290" s="25" t="str">
        <f aca="false">IF($K290="","",IFERROR(INDEX(Lists!$E$4:$E$14,MATCH($K290,Lists!$A$4:$A$14,0)),""))</f>
        <v/>
      </c>
      <c r="AB290" s="27" t="str">
        <f aca="false">IF($U290&lt;&gt;"",$U290,IF(OR($T290="",$M290&lt;&gt;"Active"),"",$T290+N($R290)))</f>
        <v/>
      </c>
      <c r="AC290" s="25" t="str">
        <f aca="false">IF(OR($T290="",$J290=""),"",$T290-$J290)</f>
        <v/>
      </c>
      <c r="AD290" s="25" t="str">
        <f aca="false">IF(AND($K290="Joined",$U290&lt;&gt;"",$J290&lt;&gt;""),$U290-$J290,"")</f>
        <v/>
      </c>
      <c r="AE290" s="25" t="str">
        <f aca="false">IF($K290="","",IF(OR($K290="Rejected",$K290="Withdrawn"),IFERROR(INDEX(Lists!$B$4:$B$14,MATCH($N290,Lists!$A$4:$A$14,0)),1),IFERROR(INDEX(Lists!$B$4:$B$14,MATCH($K290,Lists!$A$4:$A$14,0)),0)))</f>
        <v/>
      </c>
    </row>
    <row r="291" customFormat="false" ht="15" hidden="false" customHeight="false" outlineLevel="0" collapsed="false">
      <c r="A291" s="25" t="str">
        <f aca="false">IF($B291="","","C-"&amp;TEXT(ROW()-1,"0000"))</f>
        <v/>
      </c>
      <c r="B291" s="21"/>
      <c r="C291" s="21"/>
      <c r="D291" s="21"/>
      <c r="E291" s="21"/>
      <c r="F291" s="25" t="str">
        <f aca="false">IF($E291="","",IFERROR(INDEX(Requisitions!$B$2:$B$101,MATCH($E291,Requisitions!$A$2:$A$101,0)),"Unknown Req"))</f>
        <v/>
      </c>
      <c r="G291" s="25" t="str">
        <f aca="false">IF($E291="","",IFERROR(INDEX(Requisitions!$D$2:$D$101,MATCH($E291,Requisitions!$A$2:$A$101,0)),""))</f>
        <v/>
      </c>
      <c r="H291" s="21"/>
      <c r="I291" s="21"/>
      <c r="J291" s="22"/>
      <c r="K291" s="21"/>
      <c r="L291" s="22"/>
      <c r="M291" s="25" t="str">
        <f aca="false">IF($K291="","",IFERROR(INDEX(Lists!$D$4:$D$14,MATCH($K291,Lists!$A$4:$A$14,0)),"Check stage"))</f>
        <v/>
      </c>
      <c r="N291" s="21"/>
      <c r="O291" s="21"/>
      <c r="P291" s="26"/>
      <c r="Q291" s="26"/>
      <c r="R291" s="21"/>
      <c r="S291" s="21"/>
      <c r="T291" s="22"/>
      <c r="U291" s="22"/>
      <c r="V291" s="24" t="str">
        <f aca="false">IF(OR(N($P291)=0,$Q291=""),"",$Q291/$P291-1)</f>
        <v/>
      </c>
      <c r="W291" s="25" t="str">
        <f aca="true">IF($J291="","",IF($M291="Active",TODAY(),IF($U291&lt;&gt;"",$U291,IF($L291&lt;&gt;"",$L291,TODAY())))-$J291)</f>
        <v/>
      </c>
      <c r="X291" s="25" t="str">
        <f aca="true">IF(OR($L291="",$M291&lt;&gt;"Active"),"",TODAY()-$L291)</f>
        <v/>
      </c>
      <c r="Y291" s="25" t="str">
        <f aca="false">IF($M291&lt;&gt;"Active","",INDEX(Lists!$C$4:$C$14,MATCH($K291,Lists!$A$4:$A$14,0)))</f>
        <v/>
      </c>
      <c r="Z291" s="25" t="str">
        <f aca="false">IF($B291="","",IF($M291&lt;&gt;"Active","Closed",IF($X291="","",IF($X291&gt;$Y291,"BREACH","On Track"))))</f>
        <v/>
      </c>
      <c r="AA291" s="25" t="str">
        <f aca="false">IF($K291="","",IFERROR(INDEX(Lists!$E$4:$E$14,MATCH($K291,Lists!$A$4:$A$14,0)),""))</f>
        <v/>
      </c>
      <c r="AB291" s="27" t="str">
        <f aca="false">IF($U291&lt;&gt;"",$U291,IF(OR($T291="",$M291&lt;&gt;"Active"),"",$T291+N($R291)))</f>
        <v/>
      </c>
      <c r="AC291" s="25" t="str">
        <f aca="false">IF(OR($T291="",$J291=""),"",$T291-$J291)</f>
        <v/>
      </c>
      <c r="AD291" s="25" t="str">
        <f aca="false">IF(AND($K291="Joined",$U291&lt;&gt;"",$J291&lt;&gt;""),$U291-$J291,"")</f>
        <v/>
      </c>
      <c r="AE291" s="25" t="str">
        <f aca="false">IF($K291="","",IF(OR($K291="Rejected",$K291="Withdrawn"),IFERROR(INDEX(Lists!$B$4:$B$14,MATCH($N291,Lists!$A$4:$A$14,0)),1),IFERROR(INDEX(Lists!$B$4:$B$14,MATCH($K291,Lists!$A$4:$A$14,0)),0)))</f>
        <v/>
      </c>
    </row>
    <row r="292" customFormat="false" ht="15" hidden="false" customHeight="false" outlineLevel="0" collapsed="false">
      <c r="A292" s="25" t="str">
        <f aca="false">IF($B292="","","C-"&amp;TEXT(ROW()-1,"0000"))</f>
        <v/>
      </c>
      <c r="B292" s="21"/>
      <c r="C292" s="21"/>
      <c r="D292" s="21"/>
      <c r="E292" s="21"/>
      <c r="F292" s="25" t="str">
        <f aca="false">IF($E292="","",IFERROR(INDEX(Requisitions!$B$2:$B$101,MATCH($E292,Requisitions!$A$2:$A$101,0)),"Unknown Req"))</f>
        <v/>
      </c>
      <c r="G292" s="25" t="str">
        <f aca="false">IF($E292="","",IFERROR(INDEX(Requisitions!$D$2:$D$101,MATCH($E292,Requisitions!$A$2:$A$101,0)),""))</f>
        <v/>
      </c>
      <c r="H292" s="21"/>
      <c r="I292" s="21"/>
      <c r="J292" s="22"/>
      <c r="K292" s="21"/>
      <c r="L292" s="22"/>
      <c r="M292" s="25" t="str">
        <f aca="false">IF($K292="","",IFERROR(INDEX(Lists!$D$4:$D$14,MATCH($K292,Lists!$A$4:$A$14,0)),"Check stage"))</f>
        <v/>
      </c>
      <c r="N292" s="21"/>
      <c r="O292" s="21"/>
      <c r="P292" s="26"/>
      <c r="Q292" s="26"/>
      <c r="R292" s="21"/>
      <c r="S292" s="21"/>
      <c r="T292" s="22"/>
      <c r="U292" s="22"/>
      <c r="V292" s="24" t="str">
        <f aca="false">IF(OR(N($P292)=0,$Q292=""),"",$Q292/$P292-1)</f>
        <v/>
      </c>
      <c r="W292" s="25" t="str">
        <f aca="true">IF($J292="","",IF($M292="Active",TODAY(),IF($U292&lt;&gt;"",$U292,IF($L292&lt;&gt;"",$L292,TODAY())))-$J292)</f>
        <v/>
      </c>
      <c r="X292" s="25" t="str">
        <f aca="true">IF(OR($L292="",$M292&lt;&gt;"Active"),"",TODAY()-$L292)</f>
        <v/>
      </c>
      <c r="Y292" s="25" t="str">
        <f aca="false">IF($M292&lt;&gt;"Active","",INDEX(Lists!$C$4:$C$14,MATCH($K292,Lists!$A$4:$A$14,0)))</f>
        <v/>
      </c>
      <c r="Z292" s="25" t="str">
        <f aca="false">IF($B292="","",IF($M292&lt;&gt;"Active","Closed",IF($X292="","",IF($X292&gt;$Y292,"BREACH","On Track"))))</f>
        <v/>
      </c>
      <c r="AA292" s="25" t="str">
        <f aca="false">IF($K292="","",IFERROR(INDEX(Lists!$E$4:$E$14,MATCH($K292,Lists!$A$4:$A$14,0)),""))</f>
        <v/>
      </c>
      <c r="AB292" s="27" t="str">
        <f aca="false">IF($U292&lt;&gt;"",$U292,IF(OR($T292="",$M292&lt;&gt;"Active"),"",$T292+N($R292)))</f>
        <v/>
      </c>
      <c r="AC292" s="25" t="str">
        <f aca="false">IF(OR($T292="",$J292=""),"",$T292-$J292)</f>
        <v/>
      </c>
      <c r="AD292" s="25" t="str">
        <f aca="false">IF(AND($K292="Joined",$U292&lt;&gt;"",$J292&lt;&gt;""),$U292-$J292,"")</f>
        <v/>
      </c>
      <c r="AE292" s="25" t="str">
        <f aca="false">IF($K292="","",IF(OR($K292="Rejected",$K292="Withdrawn"),IFERROR(INDEX(Lists!$B$4:$B$14,MATCH($N292,Lists!$A$4:$A$14,0)),1),IFERROR(INDEX(Lists!$B$4:$B$14,MATCH($K292,Lists!$A$4:$A$14,0)),0)))</f>
        <v/>
      </c>
    </row>
    <row r="293" customFormat="false" ht="15" hidden="false" customHeight="false" outlineLevel="0" collapsed="false">
      <c r="A293" s="25" t="str">
        <f aca="false">IF($B293="","","C-"&amp;TEXT(ROW()-1,"0000"))</f>
        <v/>
      </c>
      <c r="B293" s="21"/>
      <c r="C293" s="21"/>
      <c r="D293" s="21"/>
      <c r="E293" s="21"/>
      <c r="F293" s="25" t="str">
        <f aca="false">IF($E293="","",IFERROR(INDEX(Requisitions!$B$2:$B$101,MATCH($E293,Requisitions!$A$2:$A$101,0)),"Unknown Req"))</f>
        <v/>
      </c>
      <c r="G293" s="25" t="str">
        <f aca="false">IF($E293="","",IFERROR(INDEX(Requisitions!$D$2:$D$101,MATCH($E293,Requisitions!$A$2:$A$101,0)),""))</f>
        <v/>
      </c>
      <c r="H293" s="21"/>
      <c r="I293" s="21"/>
      <c r="J293" s="22"/>
      <c r="K293" s="21"/>
      <c r="L293" s="22"/>
      <c r="M293" s="25" t="str">
        <f aca="false">IF($K293="","",IFERROR(INDEX(Lists!$D$4:$D$14,MATCH($K293,Lists!$A$4:$A$14,0)),"Check stage"))</f>
        <v/>
      </c>
      <c r="N293" s="21"/>
      <c r="O293" s="21"/>
      <c r="P293" s="26"/>
      <c r="Q293" s="26"/>
      <c r="R293" s="21"/>
      <c r="S293" s="21"/>
      <c r="T293" s="22"/>
      <c r="U293" s="22"/>
      <c r="V293" s="24" t="str">
        <f aca="false">IF(OR(N($P293)=0,$Q293=""),"",$Q293/$P293-1)</f>
        <v/>
      </c>
      <c r="W293" s="25" t="str">
        <f aca="true">IF($J293="","",IF($M293="Active",TODAY(),IF($U293&lt;&gt;"",$U293,IF($L293&lt;&gt;"",$L293,TODAY())))-$J293)</f>
        <v/>
      </c>
      <c r="X293" s="25" t="str">
        <f aca="true">IF(OR($L293="",$M293&lt;&gt;"Active"),"",TODAY()-$L293)</f>
        <v/>
      </c>
      <c r="Y293" s="25" t="str">
        <f aca="false">IF($M293&lt;&gt;"Active","",INDEX(Lists!$C$4:$C$14,MATCH($K293,Lists!$A$4:$A$14,0)))</f>
        <v/>
      </c>
      <c r="Z293" s="25" t="str">
        <f aca="false">IF($B293="","",IF($M293&lt;&gt;"Active","Closed",IF($X293="","",IF($X293&gt;$Y293,"BREACH","On Track"))))</f>
        <v/>
      </c>
      <c r="AA293" s="25" t="str">
        <f aca="false">IF($K293="","",IFERROR(INDEX(Lists!$E$4:$E$14,MATCH($K293,Lists!$A$4:$A$14,0)),""))</f>
        <v/>
      </c>
      <c r="AB293" s="27" t="str">
        <f aca="false">IF($U293&lt;&gt;"",$U293,IF(OR($T293="",$M293&lt;&gt;"Active"),"",$T293+N($R293)))</f>
        <v/>
      </c>
      <c r="AC293" s="25" t="str">
        <f aca="false">IF(OR($T293="",$J293=""),"",$T293-$J293)</f>
        <v/>
      </c>
      <c r="AD293" s="25" t="str">
        <f aca="false">IF(AND($K293="Joined",$U293&lt;&gt;"",$J293&lt;&gt;""),$U293-$J293,"")</f>
        <v/>
      </c>
      <c r="AE293" s="25" t="str">
        <f aca="false">IF($K293="","",IF(OR($K293="Rejected",$K293="Withdrawn"),IFERROR(INDEX(Lists!$B$4:$B$14,MATCH($N293,Lists!$A$4:$A$14,0)),1),IFERROR(INDEX(Lists!$B$4:$B$14,MATCH($K293,Lists!$A$4:$A$14,0)),0)))</f>
        <v/>
      </c>
    </row>
    <row r="294" customFormat="false" ht="15" hidden="false" customHeight="false" outlineLevel="0" collapsed="false">
      <c r="A294" s="25" t="str">
        <f aca="false">IF($B294="","","C-"&amp;TEXT(ROW()-1,"0000"))</f>
        <v/>
      </c>
      <c r="B294" s="21"/>
      <c r="C294" s="21"/>
      <c r="D294" s="21"/>
      <c r="E294" s="21"/>
      <c r="F294" s="25" t="str">
        <f aca="false">IF($E294="","",IFERROR(INDEX(Requisitions!$B$2:$B$101,MATCH($E294,Requisitions!$A$2:$A$101,0)),"Unknown Req"))</f>
        <v/>
      </c>
      <c r="G294" s="25" t="str">
        <f aca="false">IF($E294="","",IFERROR(INDEX(Requisitions!$D$2:$D$101,MATCH($E294,Requisitions!$A$2:$A$101,0)),""))</f>
        <v/>
      </c>
      <c r="H294" s="21"/>
      <c r="I294" s="21"/>
      <c r="J294" s="22"/>
      <c r="K294" s="21"/>
      <c r="L294" s="22"/>
      <c r="M294" s="25" t="str">
        <f aca="false">IF($K294="","",IFERROR(INDEX(Lists!$D$4:$D$14,MATCH($K294,Lists!$A$4:$A$14,0)),"Check stage"))</f>
        <v/>
      </c>
      <c r="N294" s="21"/>
      <c r="O294" s="21"/>
      <c r="P294" s="26"/>
      <c r="Q294" s="26"/>
      <c r="R294" s="21"/>
      <c r="S294" s="21"/>
      <c r="T294" s="22"/>
      <c r="U294" s="22"/>
      <c r="V294" s="24" t="str">
        <f aca="false">IF(OR(N($P294)=0,$Q294=""),"",$Q294/$P294-1)</f>
        <v/>
      </c>
      <c r="W294" s="25" t="str">
        <f aca="true">IF($J294="","",IF($M294="Active",TODAY(),IF($U294&lt;&gt;"",$U294,IF($L294&lt;&gt;"",$L294,TODAY())))-$J294)</f>
        <v/>
      </c>
      <c r="X294" s="25" t="str">
        <f aca="true">IF(OR($L294="",$M294&lt;&gt;"Active"),"",TODAY()-$L294)</f>
        <v/>
      </c>
      <c r="Y294" s="25" t="str">
        <f aca="false">IF($M294&lt;&gt;"Active","",INDEX(Lists!$C$4:$C$14,MATCH($K294,Lists!$A$4:$A$14,0)))</f>
        <v/>
      </c>
      <c r="Z294" s="25" t="str">
        <f aca="false">IF($B294="","",IF($M294&lt;&gt;"Active","Closed",IF($X294="","",IF($X294&gt;$Y294,"BREACH","On Track"))))</f>
        <v/>
      </c>
      <c r="AA294" s="25" t="str">
        <f aca="false">IF($K294="","",IFERROR(INDEX(Lists!$E$4:$E$14,MATCH($K294,Lists!$A$4:$A$14,0)),""))</f>
        <v/>
      </c>
      <c r="AB294" s="27" t="str">
        <f aca="false">IF($U294&lt;&gt;"",$U294,IF(OR($T294="",$M294&lt;&gt;"Active"),"",$T294+N($R294)))</f>
        <v/>
      </c>
      <c r="AC294" s="25" t="str">
        <f aca="false">IF(OR($T294="",$J294=""),"",$T294-$J294)</f>
        <v/>
      </c>
      <c r="AD294" s="25" t="str">
        <f aca="false">IF(AND($K294="Joined",$U294&lt;&gt;"",$J294&lt;&gt;""),$U294-$J294,"")</f>
        <v/>
      </c>
      <c r="AE294" s="25" t="str">
        <f aca="false">IF($K294="","",IF(OR($K294="Rejected",$K294="Withdrawn"),IFERROR(INDEX(Lists!$B$4:$B$14,MATCH($N294,Lists!$A$4:$A$14,0)),1),IFERROR(INDEX(Lists!$B$4:$B$14,MATCH($K294,Lists!$A$4:$A$14,0)),0)))</f>
        <v/>
      </c>
    </row>
    <row r="295" customFormat="false" ht="15" hidden="false" customHeight="false" outlineLevel="0" collapsed="false">
      <c r="A295" s="25" t="str">
        <f aca="false">IF($B295="","","C-"&amp;TEXT(ROW()-1,"0000"))</f>
        <v/>
      </c>
      <c r="B295" s="21"/>
      <c r="C295" s="21"/>
      <c r="D295" s="21"/>
      <c r="E295" s="21"/>
      <c r="F295" s="25" t="str">
        <f aca="false">IF($E295="","",IFERROR(INDEX(Requisitions!$B$2:$B$101,MATCH($E295,Requisitions!$A$2:$A$101,0)),"Unknown Req"))</f>
        <v/>
      </c>
      <c r="G295" s="25" t="str">
        <f aca="false">IF($E295="","",IFERROR(INDEX(Requisitions!$D$2:$D$101,MATCH($E295,Requisitions!$A$2:$A$101,0)),""))</f>
        <v/>
      </c>
      <c r="H295" s="21"/>
      <c r="I295" s="21"/>
      <c r="J295" s="22"/>
      <c r="K295" s="21"/>
      <c r="L295" s="22"/>
      <c r="M295" s="25" t="str">
        <f aca="false">IF($K295="","",IFERROR(INDEX(Lists!$D$4:$D$14,MATCH($K295,Lists!$A$4:$A$14,0)),"Check stage"))</f>
        <v/>
      </c>
      <c r="N295" s="21"/>
      <c r="O295" s="21"/>
      <c r="P295" s="26"/>
      <c r="Q295" s="26"/>
      <c r="R295" s="21"/>
      <c r="S295" s="21"/>
      <c r="T295" s="22"/>
      <c r="U295" s="22"/>
      <c r="V295" s="24" t="str">
        <f aca="false">IF(OR(N($P295)=0,$Q295=""),"",$Q295/$P295-1)</f>
        <v/>
      </c>
      <c r="W295" s="25" t="str">
        <f aca="true">IF($J295="","",IF($M295="Active",TODAY(),IF($U295&lt;&gt;"",$U295,IF($L295&lt;&gt;"",$L295,TODAY())))-$J295)</f>
        <v/>
      </c>
      <c r="X295" s="25" t="str">
        <f aca="true">IF(OR($L295="",$M295&lt;&gt;"Active"),"",TODAY()-$L295)</f>
        <v/>
      </c>
      <c r="Y295" s="25" t="str">
        <f aca="false">IF($M295&lt;&gt;"Active","",INDEX(Lists!$C$4:$C$14,MATCH($K295,Lists!$A$4:$A$14,0)))</f>
        <v/>
      </c>
      <c r="Z295" s="25" t="str">
        <f aca="false">IF($B295="","",IF($M295&lt;&gt;"Active","Closed",IF($X295="","",IF($X295&gt;$Y295,"BREACH","On Track"))))</f>
        <v/>
      </c>
      <c r="AA295" s="25" t="str">
        <f aca="false">IF($K295="","",IFERROR(INDEX(Lists!$E$4:$E$14,MATCH($K295,Lists!$A$4:$A$14,0)),""))</f>
        <v/>
      </c>
      <c r="AB295" s="27" t="str">
        <f aca="false">IF($U295&lt;&gt;"",$U295,IF(OR($T295="",$M295&lt;&gt;"Active"),"",$T295+N($R295)))</f>
        <v/>
      </c>
      <c r="AC295" s="25" t="str">
        <f aca="false">IF(OR($T295="",$J295=""),"",$T295-$J295)</f>
        <v/>
      </c>
      <c r="AD295" s="25" t="str">
        <f aca="false">IF(AND($K295="Joined",$U295&lt;&gt;"",$J295&lt;&gt;""),$U295-$J295,"")</f>
        <v/>
      </c>
      <c r="AE295" s="25" t="str">
        <f aca="false">IF($K295="","",IF(OR($K295="Rejected",$K295="Withdrawn"),IFERROR(INDEX(Lists!$B$4:$B$14,MATCH($N295,Lists!$A$4:$A$14,0)),1),IFERROR(INDEX(Lists!$B$4:$B$14,MATCH($K295,Lists!$A$4:$A$14,0)),0)))</f>
        <v/>
      </c>
    </row>
    <row r="296" customFormat="false" ht="15" hidden="false" customHeight="false" outlineLevel="0" collapsed="false">
      <c r="A296" s="25" t="str">
        <f aca="false">IF($B296="","","C-"&amp;TEXT(ROW()-1,"0000"))</f>
        <v/>
      </c>
      <c r="B296" s="21"/>
      <c r="C296" s="21"/>
      <c r="D296" s="21"/>
      <c r="E296" s="21"/>
      <c r="F296" s="25" t="str">
        <f aca="false">IF($E296="","",IFERROR(INDEX(Requisitions!$B$2:$B$101,MATCH($E296,Requisitions!$A$2:$A$101,0)),"Unknown Req"))</f>
        <v/>
      </c>
      <c r="G296" s="25" t="str">
        <f aca="false">IF($E296="","",IFERROR(INDEX(Requisitions!$D$2:$D$101,MATCH($E296,Requisitions!$A$2:$A$101,0)),""))</f>
        <v/>
      </c>
      <c r="H296" s="21"/>
      <c r="I296" s="21"/>
      <c r="J296" s="22"/>
      <c r="K296" s="21"/>
      <c r="L296" s="22"/>
      <c r="M296" s="25" t="str">
        <f aca="false">IF($K296="","",IFERROR(INDEX(Lists!$D$4:$D$14,MATCH($K296,Lists!$A$4:$A$14,0)),"Check stage"))</f>
        <v/>
      </c>
      <c r="N296" s="21"/>
      <c r="O296" s="21"/>
      <c r="P296" s="26"/>
      <c r="Q296" s="26"/>
      <c r="R296" s="21"/>
      <c r="S296" s="21"/>
      <c r="T296" s="22"/>
      <c r="U296" s="22"/>
      <c r="V296" s="24" t="str">
        <f aca="false">IF(OR(N($P296)=0,$Q296=""),"",$Q296/$P296-1)</f>
        <v/>
      </c>
      <c r="W296" s="25" t="str">
        <f aca="true">IF($J296="","",IF($M296="Active",TODAY(),IF($U296&lt;&gt;"",$U296,IF($L296&lt;&gt;"",$L296,TODAY())))-$J296)</f>
        <v/>
      </c>
      <c r="X296" s="25" t="str">
        <f aca="true">IF(OR($L296="",$M296&lt;&gt;"Active"),"",TODAY()-$L296)</f>
        <v/>
      </c>
      <c r="Y296" s="25" t="str">
        <f aca="false">IF($M296&lt;&gt;"Active","",INDEX(Lists!$C$4:$C$14,MATCH($K296,Lists!$A$4:$A$14,0)))</f>
        <v/>
      </c>
      <c r="Z296" s="25" t="str">
        <f aca="false">IF($B296="","",IF($M296&lt;&gt;"Active","Closed",IF($X296="","",IF($X296&gt;$Y296,"BREACH","On Track"))))</f>
        <v/>
      </c>
      <c r="AA296" s="25" t="str">
        <f aca="false">IF($K296="","",IFERROR(INDEX(Lists!$E$4:$E$14,MATCH($K296,Lists!$A$4:$A$14,0)),""))</f>
        <v/>
      </c>
      <c r="AB296" s="27" t="str">
        <f aca="false">IF($U296&lt;&gt;"",$U296,IF(OR($T296="",$M296&lt;&gt;"Active"),"",$T296+N($R296)))</f>
        <v/>
      </c>
      <c r="AC296" s="25" t="str">
        <f aca="false">IF(OR($T296="",$J296=""),"",$T296-$J296)</f>
        <v/>
      </c>
      <c r="AD296" s="25" t="str">
        <f aca="false">IF(AND($K296="Joined",$U296&lt;&gt;"",$J296&lt;&gt;""),$U296-$J296,"")</f>
        <v/>
      </c>
      <c r="AE296" s="25" t="str">
        <f aca="false">IF($K296="","",IF(OR($K296="Rejected",$K296="Withdrawn"),IFERROR(INDEX(Lists!$B$4:$B$14,MATCH($N296,Lists!$A$4:$A$14,0)),1),IFERROR(INDEX(Lists!$B$4:$B$14,MATCH($K296,Lists!$A$4:$A$14,0)),0)))</f>
        <v/>
      </c>
    </row>
    <row r="297" customFormat="false" ht="15" hidden="false" customHeight="false" outlineLevel="0" collapsed="false">
      <c r="A297" s="25" t="str">
        <f aca="false">IF($B297="","","C-"&amp;TEXT(ROW()-1,"0000"))</f>
        <v/>
      </c>
      <c r="B297" s="21"/>
      <c r="C297" s="21"/>
      <c r="D297" s="21"/>
      <c r="E297" s="21"/>
      <c r="F297" s="25" t="str">
        <f aca="false">IF($E297="","",IFERROR(INDEX(Requisitions!$B$2:$B$101,MATCH($E297,Requisitions!$A$2:$A$101,0)),"Unknown Req"))</f>
        <v/>
      </c>
      <c r="G297" s="25" t="str">
        <f aca="false">IF($E297="","",IFERROR(INDEX(Requisitions!$D$2:$D$101,MATCH($E297,Requisitions!$A$2:$A$101,0)),""))</f>
        <v/>
      </c>
      <c r="H297" s="21"/>
      <c r="I297" s="21"/>
      <c r="J297" s="22"/>
      <c r="K297" s="21"/>
      <c r="L297" s="22"/>
      <c r="M297" s="25" t="str">
        <f aca="false">IF($K297="","",IFERROR(INDEX(Lists!$D$4:$D$14,MATCH($K297,Lists!$A$4:$A$14,0)),"Check stage"))</f>
        <v/>
      </c>
      <c r="N297" s="21"/>
      <c r="O297" s="21"/>
      <c r="P297" s="26"/>
      <c r="Q297" s="26"/>
      <c r="R297" s="21"/>
      <c r="S297" s="21"/>
      <c r="T297" s="22"/>
      <c r="U297" s="22"/>
      <c r="V297" s="24" t="str">
        <f aca="false">IF(OR(N($P297)=0,$Q297=""),"",$Q297/$P297-1)</f>
        <v/>
      </c>
      <c r="W297" s="25" t="str">
        <f aca="true">IF($J297="","",IF($M297="Active",TODAY(),IF($U297&lt;&gt;"",$U297,IF($L297&lt;&gt;"",$L297,TODAY())))-$J297)</f>
        <v/>
      </c>
      <c r="X297" s="25" t="str">
        <f aca="true">IF(OR($L297="",$M297&lt;&gt;"Active"),"",TODAY()-$L297)</f>
        <v/>
      </c>
      <c r="Y297" s="25" t="str">
        <f aca="false">IF($M297&lt;&gt;"Active","",INDEX(Lists!$C$4:$C$14,MATCH($K297,Lists!$A$4:$A$14,0)))</f>
        <v/>
      </c>
      <c r="Z297" s="25" t="str">
        <f aca="false">IF($B297="","",IF($M297&lt;&gt;"Active","Closed",IF($X297="","",IF($X297&gt;$Y297,"BREACH","On Track"))))</f>
        <v/>
      </c>
      <c r="AA297" s="25" t="str">
        <f aca="false">IF($K297="","",IFERROR(INDEX(Lists!$E$4:$E$14,MATCH($K297,Lists!$A$4:$A$14,0)),""))</f>
        <v/>
      </c>
      <c r="AB297" s="27" t="str">
        <f aca="false">IF($U297&lt;&gt;"",$U297,IF(OR($T297="",$M297&lt;&gt;"Active"),"",$T297+N($R297)))</f>
        <v/>
      </c>
      <c r="AC297" s="25" t="str">
        <f aca="false">IF(OR($T297="",$J297=""),"",$T297-$J297)</f>
        <v/>
      </c>
      <c r="AD297" s="25" t="str">
        <f aca="false">IF(AND($K297="Joined",$U297&lt;&gt;"",$J297&lt;&gt;""),$U297-$J297,"")</f>
        <v/>
      </c>
      <c r="AE297" s="25" t="str">
        <f aca="false">IF($K297="","",IF(OR($K297="Rejected",$K297="Withdrawn"),IFERROR(INDEX(Lists!$B$4:$B$14,MATCH($N297,Lists!$A$4:$A$14,0)),1),IFERROR(INDEX(Lists!$B$4:$B$14,MATCH($K297,Lists!$A$4:$A$14,0)),0)))</f>
        <v/>
      </c>
    </row>
    <row r="298" customFormat="false" ht="15" hidden="false" customHeight="false" outlineLevel="0" collapsed="false">
      <c r="A298" s="25" t="str">
        <f aca="false">IF($B298="","","C-"&amp;TEXT(ROW()-1,"0000"))</f>
        <v/>
      </c>
      <c r="B298" s="21"/>
      <c r="C298" s="21"/>
      <c r="D298" s="21"/>
      <c r="E298" s="21"/>
      <c r="F298" s="25" t="str">
        <f aca="false">IF($E298="","",IFERROR(INDEX(Requisitions!$B$2:$B$101,MATCH($E298,Requisitions!$A$2:$A$101,0)),"Unknown Req"))</f>
        <v/>
      </c>
      <c r="G298" s="25" t="str">
        <f aca="false">IF($E298="","",IFERROR(INDEX(Requisitions!$D$2:$D$101,MATCH($E298,Requisitions!$A$2:$A$101,0)),""))</f>
        <v/>
      </c>
      <c r="H298" s="21"/>
      <c r="I298" s="21"/>
      <c r="J298" s="22"/>
      <c r="K298" s="21"/>
      <c r="L298" s="22"/>
      <c r="M298" s="25" t="str">
        <f aca="false">IF($K298="","",IFERROR(INDEX(Lists!$D$4:$D$14,MATCH($K298,Lists!$A$4:$A$14,0)),"Check stage"))</f>
        <v/>
      </c>
      <c r="N298" s="21"/>
      <c r="O298" s="21"/>
      <c r="P298" s="26"/>
      <c r="Q298" s="26"/>
      <c r="R298" s="21"/>
      <c r="S298" s="21"/>
      <c r="T298" s="22"/>
      <c r="U298" s="22"/>
      <c r="V298" s="24" t="str">
        <f aca="false">IF(OR(N($P298)=0,$Q298=""),"",$Q298/$P298-1)</f>
        <v/>
      </c>
      <c r="W298" s="25" t="str">
        <f aca="true">IF($J298="","",IF($M298="Active",TODAY(),IF($U298&lt;&gt;"",$U298,IF($L298&lt;&gt;"",$L298,TODAY())))-$J298)</f>
        <v/>
      </c>
      <c r="X298" s="25" t="str">
        <f aca="true">IF(OR($L298="",$M298&lt;&gt;"Active"),"",TODAY()-$L298)</f>
        <v/>
      </c>
      <c r="Y298" s="25" t="str">
        <f aca="false">IF($M298&lt;&gt;"Active","",INDEX(Lists!$C$4:$C$14,MATCH($K298,Lists!$A$4:$A$14,0)))</f>
        <v/>
      </c>
      <c r="Z298" s="25" t="str">
        <f aca="false">IF($B298="","",IF($M298&lt;&gt;"Active","Closed",IF($X298="","",IF($X298&gt;$Y298,"BREACH","On Track"))))</f>
        <v/>
      </c>
      <c r="AA298" s="25" t="str">
        <f aca="false">IF($K298="","",IFERROR(INDEX(Lists!$E$4:$E$14,MATCH($K298,Lists!$A$4:$A$14,0)),""))</f>
        <v/>
      </c>
      <c r="AB298" s="27" t="str">
        <f aca="false">IF($U298&lt;&gt;"",$U298,IF(OR($T298="",$M298&lt;&gt;"Active"),"",$T298+N($R298)))</f>
        <v/>
      </c>
      <c r="AC298" s="25" t="str">
        <f aca="false">IF(OR($T298="",$J298=""),"",$T298-$J298)</f>
        <v/>
      </c>
      <c r="AD298" s="25" t="str">
        <f aca="false">IF(AND($K298="Joined",$U298&lt;&gt;"",$J298&lt;&gt;""),$U298-$J298,"")</f>
        <v/>
      </c>
      <c r="AE298" s="25" t="str">
        <f aca="false">IF($K298="","",IF(OR($K298="Rejected",$K298="Withdrawn"),IFERROR(INDEX(Lists!$B$4:$B$14,MATCH($N298,Lists!$A$4:$A$14,0)),1),IFERROR(INDEX(Lists!$B$4:$B$14,MATCH($K298,Lists!$A$4:$A$14,0)),0)))</f>
        <v/>
      </c>
    </row>
    <row r="299" customFormat="false" ht="15" hidden="false" customHeight="false" outlineLevel="0" collapsed="false">
      <c r="A299" s="25" t="str">
        <f aca="false">IF($B299="","","C-"&amp;TEXT(ROW()-1,"0000"))</f>
        <v/>
      </c>
      <c r="B299" s="21"/>
      <c r="C299" s="21"/>
      <c r="D299" s="21"/>
      <c r="E299" s="21"/>
      <c r="F299" s="25" t="str">
        <f aca="false">IF($E299="","",IFERROR(INDEX(Requisitions!$B$2:$B$101,MATCH($E299,Requisitions!$A$2:$A$101,0)),"Unknown Req"))</f>
        <v/>
      </c>
      <c r="G299" s="25" t="str">
        <f aca="false">IF($E299="","",IFERROR(INDEX(Requisitions!$D$2:$D$101,MATCH($E299,Requisitions!$A$2:$A$101,0)),""))</f>
        <v/>
      </c>
      <c r="H299" s="21"/>
      <c r="I299" s="21"/>
      <c r="J299" s="22"/>
      <c r="K299" s="21"/>
      <c r="L299" s="22"/>
      <c r="M299" s="25" t="str">
        <f aca="false">IF($K299="","",IFERROR(INDEX(Lists!$D$4:$D$14,MATCH($K299,Lists!$A$4:$A$14,0)),"Check stage"))</f>
        <v/>
      </c>
      <c r="N299" s="21"/>
      <c r="O299" s="21"/>
      <c r="P299" s="26"/>
      <c r="Q299" s="26"/>
      <c r="R299" s="21"/>
      <c r="S299" s="21"/>
      <c r="T299" s="22"/>
      <c r="U299" s="22"/>
      <c r="V299" s="24" t="str">
        <f aca="false">IF(OR(N($P299)=0,$Q299=""),"",$Q299/$P299-1)</f>
        <v/>
      </c>
      <c r="W299" s="25" t="str">
        <f aca="true">IF($J299="","",IF($M299="Active",TODAY(),IF($U299&lt;&gt;"",$U299,IF($L299&lt;&gt;"",$L299,TODAY())))-$J299)</f>
        <v/>
      </c>
      <c r="X299" s="25" t="str">
        <f aca="true">IF(OR($L299="",$M299&lt;&gt;"Active"),"",TODAY()-$L299)</f>
        <v/>
      </c>
      <c r="Y299" s="25" t="str">
        <f aca="false">IF($M299&lt;&gt;"Active","",INDEX(Lists!$C$4:$C$14,MATCH($K299,Lists!$A$4:$A$14,0)))</f>
        <v/>
      </c>
      <c r="Z299" s="25" t="str">
        <f aca="false">IF($B299="","",IF($M299&lt;&gt;"Active","Closed",IF($X299="","",IF($X299&gt;$Y299,"BREACH","On Track"))))</f>
        <v/>
      </c>
      <c r="AA299" s="25" t="str">
        <f aca="false">IF($K299="","",IFERROR(INDEX(Lists!$E$4:$E$14,MATCH($K299,Lists!$A$4:$A$14,0)),""))</f>
        <v/>
      </c>
      <c r="AB299" s="27" t="str">
        <f aca="false">IF($U299&lt;&gt;"",$U299,IF(OR($T299="",$M299&lt;&gt;"Active"),"",$T299+N($R299)))</f>
        <v/>
      </c>
      <c r="AC299" s="25" t="str">
        <f aca="false">IF(OR($T299="",$J299=""),"",$T299-$J299)</f>
        <v/>
      </c>
      <c r="AD299" s="25" t="str">
        <f aca="false">IF(AND($K299="Joined",$U299&lt;&gt;"",$J299&lt;&gt;""),$U299-$J299,"")</f>
        <v/>
      </c>
      <c r="AE299" s="25" t="str">
        <f aca="false">IF($K299="","",IF(OR($K299="Rejected",$K299="Withdrawn"),IFERROR(INDEX(Lists!$B$4:$B$14,MATCH($N299,Lists!$A$4:$A$14,0)),1),IFERROR(INDEX(Lists!$B$4:$B$14,MATCH($K299,Lists!$A$4:$A$14,0)),0)))</f>
        <v/>
      </c>
    </row>
    <row r="300" customFormat="false" ht="15" hidden="false" customHeight="false" outlineLevel="0" collapsed="false">
      <c r="A300" s="25" t="str">
        <f aca="false">IF($B300="","","C-"&amp;TEXT(ROW()-1,"0000"))</f>
        <v/>
      </c>
      <c r="B300" s="21"/>
      <c r="C300" s="21"/>
      <c r="D300" s="21"/>
      <c r="E300" s="21"/>
      <c r="F300" s="25" t="str">
        <f aca="false">IF($E300="","",IFERROR(INDEX(Requisitions!$B$2:$B$101,MATCH($E300,Requisitions!$A$2:$A$101,0)),"Unknown Req"))</f>
        <v/>
      </c>
      <c r="G300" s="25" t="str">
        <f aca="false">IF($E300="","",IFERROR(INDEX(Requisitions!$D$2:$D$101,MATCH($E300,Requisitions!$A$2:$A$101,0)),""))</f>
        <v/>
      </c>
      <c r="H300" s="21"/>
      <c r="I300" s="21"/>
      <c r="J300" s="22"/>
      <c r="K300" s="21"/>
      <c r="L300" s="22"/>
      <c r="M300" s="25" t="str">
        <f aca="false">IF($K300="","",IFERROR(INDEX(Lists!$D$4:$D$14,MATCH($K300,Lists!$A$4:$A$14,0)),"Check stage"))</f>
        <v/>
      </c>
      <c r="N300" s="21"/>
      <c r="O300" s="21"/>
      <c r="P300" s="26"/>
      <c r="Q300" s="26"/>
      <c r="R300" s="21"/>
      <c r="S300" s="21"/>
      <c r="T300" s="22"/>
      <c r="U300" s="22"/>
      <c r="V300" s="24" t="str">
        <f aca="false">IF(OR(N($P300)=0,$Q300=""),"",$Q300/$P300-1)</f>
        <v/>
      </c>
      <c r="W300" s="25" t="str">
        <f aca="true">IF($J300="","",IF($M300="Active",TODAY(),IF($U300&lt;&gt;"",$U300,IF($L300&lt;&gt;"",$L300,TODAY())))-$J300)</f>
        <v/>
      </c>
      <c r="X300" s="25" t="str">
        <f aca="true">IF(OR($L300="",$M300&lt;&gt;"Active"),"",TODAY()-$L300)</f>
        <v/>
      </c>
      <c r="Y300" s="25" t="str">
        <f aca="false">IF($M300&lt;&gt;"Active","",INDEX(Lists!$C$4:$C$14,MATCH($K300,Lists!$A$4:$A$14,0)))</f>
        <v/>
      </c>
      <c r="Z300" s="25" t="str">
        <f aca="false">IF($B300="","",IF($M300&lt;&gt;"Active","Closed",IF($X300="","",IF($X300&gt;$Y300,"BREACH","On Track"))))</f>
        <v/>
      </c>
      <c r="AA300" s="25" t="str">
        <f aca="false">IF($K300="","",IFERROR(INDEX(Lists!$E$4:$E$14,MATCH($K300,Lists!$A$4:$A$14,0)),""))</f>
        <v/>
      </c>
      <c r="AB300" s="27" t="str">
        <f aca="false">IF($U300&lt;&gt;"",$U300,IF(OR($T300="",$M300&lt;&gt;"Active"),"",$T300+N($R300)))</f>
        <v/>
      </c>
      <c r="AC300" s="25" t="str">
        <f aca="false">IF(OR($T300="",$J300=""),"",$T300-$J300)</f>
        <v/>
      </c>
      <c r="AD300" s="25" t="str">
        <f aca="false">IF(AND($K300="Joined",$U300&lt;&gt;"",$J300&lt;&gt;""),$U300-$J300,"")</f>
        <v/>
      </c>
      <c r="AE300" s="25" t="str">
        <f aca="false">IF($K300="","",IF(OR($K300="Rejected",$K300="Withdrawn"),IFERROR(INDEX(Lists!$B$4:$B$14,MATCH($N300,Lists!$A$4:$A$14,0)),1),IFERROR(INDEX(Lists!$B$4:$B$14,MATCH($K300,Lists!$A$4:$A$14,0)),0)))</f>
        <v/>
      </c>
    </row>
    <row r="301" customFormat="false" ht="15" hidden="false" customHeight="false" outlineLevel="0" collapsed="false">
      <c r="A301" s="25" t="str">
        <f aca="false">IF($B301="","","C-"&amp;TEXT(ROW()-1,"0000"))</f>
        <v/>
      </c>
      <c r="B301" s="21"/>
      <c r="C301" s="21"/>
      <c r="D301" s="21"/>
      <c r="E301" s="21"/>
      <c r="F301" s="25" t="str">
        <f aca="false">IF($E301="","",IFERROR(INDEX(Requisitions!$B$2:$B$101,MATCH($E301,Requisitions!$A$2:$A$101,0)),"Unknown Req"))</f>
        <v/>
      </c>
      <c r="G301" s="25" t="str">
        <f aca="false">IF($E301="","",IFERROR(INDEX(Requisitions!$D$2:$D$101,MATCH($E301,Requisitions!$A$2:$A$101,0)),""))</f>
        <v/>
      </c>
      <c r="H301" s="21"/>
      <c r="I301" s="21"/>
      <c r="J301" s="22"/>
      <c r="K301" s="21"/>
      <c r="L301" s="22"/>
      <c r="M301" s="25" t="str">
        <f aca="false">IF($K301="","",IFERROR(INDEX(Lists!$D$4:$D$14,MATCH($K301,Lists!$A$4:$A$14,0)),"Check stage"))</f>
        <v/>
      </c>
      <c r="N301" s="21"/>
      <c r="O301" s="21"/>
      <c r="P301" s="26"/>
      <c r="Q301" s="26"/>
      <c r="R301" s="21"/>
      <c r="S301" s="21"/>
      <c r="T301" s="22"/>
      <c r="U301" s="22"/>
      <c r="V301" s="24" t="str">
        <f aca="false">IF(OR(N($P301)=0,$Q301=""),"",$Q301/$P301-1)</f>
        <v/>
      </c>
      <c r="W301" s="25" t="str">
        <f aca="true">IF($J301="","",IF($M301="Active",TODAY(),IF($U301&lt;&gt;"",$U301,IF($L301&lt;&gt;"",$L301,TODAY())))-$J301)</f>
        <v/>
      </c>
      <c r="X301" s="25" t="str">
        <f aca="true">IF(OR($L301="",$M301&lt;&gt;"Active"),"",TODAY()-$L301)</f>
        <v/>
      </c>
      <c r="Y301" s="25" t="str">
        <f aca="false">IF($M301&lt;&gt;"Active","",INDEX(Lists!$C$4:$C$14,MATCH($K301,Lists!$A$4:$A$14,0)))</f>
        <v/>
      </c>
      <c r="Z301" s="25" t="str">
        <f aca="false">IF($B301="","",IF($M301&lt;&gt;"Active","Closed",IF($X301="","",IF($X301&gt;$Y301,"BREACH","On Track"))))</f>
        <v/>
      </c>
      <c r="AA301" s="25" t="str">
        <f aca="false">IF($K301="","",IFERROR(INDEX(Lists!$E$4:$E$14,MATCH($K301,Lists!$A$4:$A$14,0)),""))</f>
        <v/>
      </c>
      <c r="AB301" s="27" t="str">
        <f aca="false">IF($U301&lt;&gt;"",$U301,IF(OR($T301="",$M301&lt;&gt;"Active"),"",$T301+N($R301)))</f>
        <v/>
      </c>
      <c r="AC301" s="25" t="str">
        <f aca="false">IF(OR($T301="",$J301=""),"",$T301-$J301)</f>
        <v/>
      </c>
      <c r="AD301" s="25" t="str">
        <f aca="false">IF(AND($K301="Joined",$U301&lt;&gt;"",$J301&lt;&gt;""),$U301-$J301,"")</f>
        <v/>
      </c>
      <c r="AE301" s="25" t="str">
        <f aca="false">IF($K301="","",IF(OR($K301="Rejected",$K301="Withdrawn"),IFERROR(INDEX(Lists!$B$4:$B$14,MATCH($N301,Lists!$A$4:$A$14,0)),1),IFERROR(INDEX(Lists!$B$4:$B$14,MATCH($K301,Lists!$A$4:$A$14,0)),0)))</f>
        <v/>
      </c>
    </row>
    <row r="302" customFormat="false" ht="15" hidden="false" customHeight="false" outlineLevel="0" collapsed="false">
      <c r="A302" s="25" t="str">
        <f aca="false">IF($B302="","","C-"&amp;TEXT(ROW()-1,"0000"))</f>
        <v/>
      </c>
      <c r="B302" s="21"/>
      <c r="C302" s="21"/>
      <c r="D302" s="21"/>
      <c r="E302" s="21"/>
      <c r="F302" s="25" t="str">
        <f aca="false">IF($E302="","",IFERROR(INDEX(Requisitions!$B$2:$B$101,MATCH($E302,Requisitions!$A$2:$A$101,0)),"Unknown Req"))</f>
        <v/>
      </c>
      <c r="G302" s="25" t="str">
        <f aca="false">IF($E302="","",IFERROR(INDEX(Requisitions!$D$2:$D$101,MATCH($E302,Requisitions!$A$2:$A$101,0)),""))</f>
        <v/>
      </c>
      <c r="H302" s="21"/>
      <c r="I302" s="21"/>
      <c r="J302" s="22"/>
      <c r="K302" s="21"/>
      <c r="L302" s="22"/>
      <c r="M302" s="25" t="str">
        <f aca="false">IF($K302="","",IFERROR(INDEX(Lists!$D$4:$D$14,MATCH($K302,Lists!$A$4:$A$14,0)),"Check stage"))</f>
        <v/>
      </c>
      <c r="N302" s="21"/>
      <c r="O302" s="21"/>
      <c r="P302" s="26"/>
      <c r="Q302" s="26"/>
      <c r="R302" s="21"/>
      <c r="S302" s="21"/>
      <c r="T302" s="22"/>
      <c r="U302" s="22"/>
      <c r="V302" s="24" t="str">
        <f aca="false">IF(OR(N($P302)=0,$Q302=""),"",$Q302/$P302-1)</f>
        <v/>
      </c>
      <c r="W302" s="25" t="str">
        <f aca="true">IF($J302="","",IF($M302="Active",TODAY(),IF($U302&lt;&gt;"",$U302,IF($L302&lt;&gt;"",$L302,TODAY())))-$J302)</f>
        <v/>
      </c>
      <c r="X302" s="25" t="str">
        <f aca="true">IF(OR($L302="",$M302&lt;&gt;"Active"),"",TODAY()-$L302)</f>
        <v/>
      </c>
      <c r="Y302" s="25" t="str">
        <f aca="false">IF($M302&lt;&gt;"Active","",INDEX(Lists!$C$4:$C$14,MATCH($K302,Lists!$A$4:$A$14,0)))</f>
        <v/>
      </c>
      <c r="Z302" s="25" t="str">
        <f aca="false">IF($B302="","",IF($M302&lt;&gt;"Active","Closed",IF($X302="","",IF($X302&gt;$Y302,"BREACH","On Track"))))</f>
        <v/>
      </c>
      <c r="AA302" s="25" t="str">
        <f aca="false">IF($K302="","",IFERROR(INDEX(Lists!$E$4:$E$14,MATCH($K302,Lists!$A$4:$A$14,0)),""))</f>
        <v/>
      </c>
      <c r="AB302" s="27" t="str">
        <f aca="false">IF($U302&lt;&gt;"",$U302,IF(OR($T302="",$M302&lt;&gt;"Active"),"",$T302+N($R302)))</f>
        <v/>
      </c>
      <c r="AC302" s="25" t="str">
        <f aca="false">IF(OR($T302="",$J302=""),"",$T302-$J302)</f>
        <v/>
      </c>
      <c r="AD302" s="25" t="str">
        <f aca="false">IF(AND($K302="Joined",$U302&lt;&gt;"",$J302&lt;&gt;""),$U302-$J302,"")</f>
        <v/>
      </c>
      <c r="AE302" s="25" t="str">
        <f aca="false">IF($K302="","",IF(OR($K302="Rejected",$K302="Withdrawn"),IFERROR(INDEX(Lists!$B$4:$B$14,MATCH($N302,Lists!$A$4:$A$14,0)),1),IFERROR(INDEX(Lists!$B$4:$B$14,MATCH($K302,Lists!$A$4:$A$14,0)),0)))</f>
        <v/>
      </c>
    </row>
    <row r="303" customFormat="false" ht="15" hidden="false" customHeight="false" outlineLevel="0" collapsed="false">
      <c r="A303" s="25" t="str">
        <f aca="false">IF($B303="","","C-"&amp;TEXT(ROW()-1,"0000"))</f>
        <v/>
      </c>
      <c r="B303" s="21"/>
      <c r="C303" s="21"/>
      <c r="D303" s="21"/>
      <c r="E303" s="21"/>
      <c r="F303" s="25" t="str">
        <f aca="false">IF($E303="","",IFERROR(INDEX(Requisitions!$B$2:$B$101,MATCH($E303,Requisitions!$A$2:$A$101,0)),"Unknown Req"))</f>
        <v/>
      </c>
      <c r="G303" s="25" t="str">
        <f aca="false">IF($E303="","",IFERROR(INDEX(Requisitions!$D$2:$D$101,MATCH($E303,Requisitions!$A$2:$A$101,0)),""))</f>
        <v/>
      </c>
      <c r="H303" s="21"/>
      <c r="I303" s="21"/>
      <c r="J303" s="22"/>
      <c r="K303" s="21"/>
      <c r="L303" s="22"/>
      <c r="M303" s="25" t="str">
        <f aca="false">IF($K303="","",IFERROR(INDEX(Lists!$D$4:$D$14,MATCH($K303,Lists!$A$4:$A$14,0)),"Check stage"))</f>
        <v/>
      </c>
      <c r="N303" s="21"/>
      <c r="O303" s="21"/>
      <c r="P303" s="26"/>
      <c r="Q303" s="26"/>
      <c r="R303" s="21"/>
      <c r="S303" s="21"/>
      <c r="T303" s="22"/>
      <c r="U303" s="22"/>
      <c r="V303" s="24" t="str">
        <f aca="false">IF(OR(N($P303)=0,$Q303=""),"",$Q303/$P303-1)</f>
        <v/>
      </c>
      <c r="W303" s="25" t="str">
        <f aca="true">IF($J303="","",IF($M303="Active",TODAY(),IF($U303&lt;&gt;"",$U303,IF($L303&lt;&gt;"",$L303,TODAY())))-$J303)</f>
        <v/>
      </c>
      <c r="X303" s="25" t="str">
        <f aca="true">IF(OR($L303="",$M303&lt;&gt;"Active"),"",TODAY()-$L303)</f>
        <v/>
      </c>
      <c r="Y303" s="25" t="str">
        <f aca="false">IF($M303&lt;&gt;"Active","",INDEX(Lists!$C$4:$C$14,MATCH($K303,Lists!$A$4:$A$14,0)))</f>
        <v/>
      </c>
      <c r="Z303" s="25" t="str">
        <f aca="false">IF($B303="","",IF($M303&lt;&gt;"Active","Closed",IF($X303="","",IF($X303&gt;$Y303,"BREACH","On Track"))))</f>
        <v/>
      </c>
      <c r="AA303" s="25" t="str">
        <f aca="false">IF($K303="","",IFERROR(INDEX(Lists!$E$4:$E$14,MATCH($K303,Lists!$A$4:$A$14,0)),""))</f>
        <v/>
      </c>
      <c r="AB303" s="27" t="str">
        <f aca="false">IF($U303&lt;&gt;"",$U303,IF(OR($T303="",$M303&lt;&gt;"Active"),"",$T303+N($R303)))</f>
        <v/>
      </c>
      <c r="AC303" s="25" t="str">
        <f aca="false">IF(OR($T303="",$J303=""),"",$T303-$J303)</f>
        <v/>
      </c>
      <c r="AD303" s="25" t="str">
        <f aca="false">IF(AND($K303="Joined",$U303&lt;&gt;"",$J303&lt;&gt;""),$U303-$J303,"")</f>
        <v/>
      </c>
      <c r="AE303" s="25" t="str">
        <f aca="false">IF($K303="","",IF(OR($K303="Rejected",$K303="Withdrawn"),IFERROR(INDEX(Lists!$B$4:$B$14,MATCH($N303,Lists!$A$4:$A$14,0)),1),IFERROR(INDEX(Lists!$B$4:$B$14,MATCH($K303,Lists!$A$4:$A$14,0)),0)))</f>
        <v/>
      </c>
    </row>
    <row r="304" customFormat="false" ht="15" hidden="false" customHeight="false" outlineLevel="0" collapsed="false">
      <c r="A304" s="25" t="str">
        <f aca="false">IF($B304="","","C-"&amp;TEXT(ROW()-1,"0000"))</f>
        <v/>
      </c>
      <c r="B304" s="21"/>
      <c r="C304" s="21"/>
      <c r="D304" s="21"/>
      <c r="E304" s="21"/>
      <c r="F304" s="25" t="str">
        <f aca="false">IF($E304="","",IFERROR(INDEX(Requisitions!$B$2:$B$101,MATCH($E304,Requisitions!$A$2:$A$101,0)),"Unknown Req"))</f>
        <v/>
      </c>
      <c r="G304" s="25" t="str">
        <f aca="false">IF($E304="","",IFERROR(INDEX(Requisitions!$D$2:$D$101,MATCH($E304,Requisitions!$A$2:$A$101,0)),""))</f>
        <v/>
      </c>
      <c r="H304" s="21"/>
      <c r="I304" s="21"/>
      <c r="J304" s="22"/>
      <c r="K304" s="21"/>
      <c r="L304" s="22"/>
      <c r="M304" s="25" t="str">
        <f aca="false">IF($K304="","",IFERROR(INDEX(Lists!$D$4:$D$14,MATCH($K304,Lists!$A$4:$A$14,0)),"Check stage"))</f>
        <v/>
      </c>
      <c r="N304" s="21"/>
      <c r="O304" s="21"/>
      <c r="P304" s="26"/>
      <c r="Q304" s="26"/>
      <c r="R304" s="21"/>
      <c r="S304" s="21"/>
      <c r="T304" s="22"/>
      <c r="U304" s="22"/>
      <c r="V304" s="24" t="str">
        <f aca="false">IF(OR(N($P304)=0,$Q304=""),"",$Q304/$P304-1)</f>
        <v/>
      </c>
      <c r="W304" s="25" t="str">
        <f aca="true">IF($J304="","",IF($M304="Active",TODAY(),IF($U304&lt;&gt;"",$U304,IF($L304&lt;&gt;"",$L304,TODAY())))-$J304)</f>
        <v/>
      </c>
      <c r="X304" s="25" t="str">
        <f aca="true">IF(OR($L304="",$M304&lt;&gt;"Active"),"",TODAY()-$L304)</f>
        <v/>
      </c>
      <c r="Y304" s="25" t="str">
        <f aca="false">IF($M304&lt;&gt;"Active","",INDEX(Lists!$C$4:$C$14,MATCH($K304,Lists!$A$4:$A$14,0)))</f>
        <v/>
      </c>
      <c r="Z304" s="25" t="str">
        <f aca="false">IF($B304="","",IF($M304&lt;&gt;"Active","Closed",IF($X304="","",IF($X304&gt;$Y304,"BREACH","On Track"))))</f>
        <v/>
      </c>
      <c r="AA304" s="25" t="str">
        <f aca="false">IF($K304="","",IFERROR(INDEX(Lists!$E$4:$E$14,MATCH($K304,Lists!$A$4:$A$14,0)),""))</f>
        <v/>
      </c>
      <c r="AB304" s="27" t="str">
        <f aca="false">IF($U304&lt;&gt;"",$U304,IF(OR($T304="",$M304&lt;&gt;"Active"),"",$T304+N($R304)))</f>
        <v/>
      </c>
      <c r="AC304" s="25" t="str">
        <f aca="false">IF(OR($T304="",$J304=""),"",$T304-$J304)</f>
        <v/>
      </c>
      <c r="AD304" s="25" t="str">
        <f aca="false">IF(AND($K304="Joined",$U304&lt;&gt;"",$J304&lt;&gt;""),$U304-$J304,"")</f>
        <v/>
      </c>
      <c r="AE304" s="25" t="str">
        <f aca="false">IF($K304="","",IF(OR($K304="Rejected",$K304="Withdrawn"),IFERROR(INDEX(Lists!$B$4:$B$14,MATCH($N304,Lists!$A$4:$A$14,0)),1),IFERROR(INDEX(Lists!$B$4:$B$14,MATCH($K304,Lists!$A$4:$A$14,0)),0)))</f>
        <v/>
      </c>
    </row>
    <row r="305" customFormat="false" ht="15" hidden="false" customHeight="false" outlineLevel="0" collapsed="false">
      <c r="A305" s="25" t="str">
        <f aca="false">IF($B305="","","C-"&amp;TEXT(ROW()-1,"0000"))</f>
        <v/>
      </c>
      <c r="B305" s="21"/>
      <c r="C305" s="21"/>
      <c r="D305" s="21"/>
      <c r="E305" s="21"/>
      <c r="F305" s="25" t="str">
        <f aca="false">IF($E305="","",IFERROR(INDEX(Requisitions!$B$2:$B$101,MATCH($E305,Requisitions!$A$2:$A$101,0)),"Unknown Req"))</f>
        <v/>
      </c>
      <c r="G305" s="25" t="str">
        <f aca="false">IF($E305="","",IFERROR(INDEX(Requisitions!$D$2:$D$101,MATCH($E305,Requisitions!$A$2:$A$101,0)),""))</f>
        <v/>
      </c>
      <c r="H305" s="21"/>
      <c r="I305" s="21"/>
      <c r="J305" s="22"/>
      <c r="K305" s="21"/>
      <c r="L305" s="22"/>
      <c r="M305" s="25" t="str">
        <f aca="false">IF($K305="","",IFERROR(INDEX(Lists!$D$4:$D$14,MATCH($K305,Lists!$A$4:$A$14,0)),"Check stage"))</f>
        <v/>
      </c>
      <c r="N305" s="21"/>
      <c r="O305" s="21"/>
      <c r="P305" s="26"/>
      <c r="Q305" s="26"/>
      <c r="R305" s="21"/>
      <c r="S305" s="21"/>
      <c r="T305" s="22"/>
      <c r="U305" s="22"/>
      <c r="V305" s="24" t="str">
        <f aca="false">IF(OR(N($P305)=0,$Q305=""),"",$Q305/$P305-1)</f>
        <v/>
      </c>
      <c r="W305" s="25" t="str">
        <f aca="true">IF($J305="","",IF($M305="Active",TODAY(),IF($U305&lt;&gt;"",$U305,IF($L305&lt;&gt;"",$L305,TODAY())))-$J305)</f>
        <v/>
      </c>
      <c r="X305" s="25" t="str">
        <f aca="true">IF(OR($L305="",$M305&lt;&gt;"Active"),"",TODAY()-$L305)</f>
        <v/>
      </c>
      <c r="Y305" s="25" t="str">
        <f aca="false">IF($M305&lt;&gt;"Active","",INDEX(Lists!$C$4:$C$14,MATCH($K305,Lists!$A$4:$A$14,0)))</f>
        <v/>
      </c>
      <c r="Z305" s="25" t="str">
        <f aca="false">IF($B305="","",IF($M305&lt;&gt;"Active","Closed",IF($X305="","",IF($X305&gt;$Y305,"BREACH","On Track"))))</f>
        <v/>
      </c>
      <c r="AA305" s="25" t="str">
        <f aca="false">IF($K305="","",IFERROR(INDEX(Lists!$E$4:$E$14,MATCH($K305,Lists!$A$4:$A$14,0)),""))</f>
        <v/>
      </c>
      <c r="AB305" s="27" t="str">
        <f aca="false">IF($U305&lt;&gt;"",$U305,IF(OR($T305="",$M305&lt;&gt;"Active"),"",$T305+N($R305)))</f>
        <v/>
      </c>
      <c r="AC305" s="25" t="str">
        <f aca="false">IF(OR($T305="",$J305=""),"",$T305-$J305)</f>
        <v/>
      </c>
      <c r="AD305" s="25" t="str">
        <f aca="false">IF(AND($K305="Joined",$U305&lt;&gt;"",$J305&lt;&gt;""),$U305-$J305,"")</f>
        <v/>
      </c>
      <c r="AE305" s="25" t="str">
        <f aca="false">IF($K305="","",IF(OR($K305="Rejected",$K305="Withdrawn"),IFERROR(INDEX(Lists!$B$4:$B$14,MATCH($N305,Lists!$A$4:$A$14,0)),1),IFERROR(INDEX(Lists!$B$4:$B$14,MATCH($K305,Lists!$A$4:$A$14,0)),0)))</f>
        <v/>
      </c>
    </row>
    <row r="306" customFormat="false" ht="15" hidden="false" customHeight="false" outlineLevel="0" collapsed="false">
      <c r="A306" s="25" t="str">
        <f aca="false">IF($B306="","","C-"&amp;TEXT(ROW()-1,"0000"))</f>
        <v/>
      </c>
      <c r="B306" s="21"/>
      <c r="C306" s="21"/>
      <c r="D306" s="21"/>
      <c r="E306" s="21"/>
      <c r="F306" s="25" t="str">
        <f aca="false">IF($E306="","",IFERROR(INDEX(Requisitions!$B$2:$B$101,MATCH($E306,Requisitions!$A$2:$A$101,0)),"Unknown Req"))</f>
        <v/>
      </c>
      <c r="G306" s="25" t="str">
        <f aca="false">IF($E306="","",IFERROR(INDEX(Requisitions!$D$2:$D$101,MATCH($E306,Requisitions!$A$2:$A$101,0)),""))</f>
        <v/>
      </c>
      <c r="H306" s="21"/>
      <c r="I306" s="21"/>
      <c r="J306" s="22"/>
      <c r="K306" s="21"/>
      <c r="L306" s="22"/>
      <c r="M306" s="25" t="str">
        <f aca="false">IF($K306="","",IFERROR(INDEX(Lists!$D$4:$D$14,MATCH($K306,Lists!$A$4:$A$14,0)),"Check stage"))</f>
        <v/>
      </c>
      <c r="N306" s="21"/>
      <c r="O306" s="21"/>
      <c r="P306" s="26"/>
      <c r="Q306" s="26"/>
      <c r="R306" s="21"/>
      <c r="S306" s="21"/>
      <c r="T306" s="22"/>
      <c r="U306" s="22"/>
      <c r="V306" s="24" t="str">
        <f aca="false">IF(OR(N($P306)=0,$Q306=""),"",$Q306/$P306-1)</f>
        <v/>
      </c>
      <c r="W306" s="25" t="str">
        <f aca="true">IF($J306="","",IF($M306="Active",TODAY(),IF($U306&lt;&gt;"",$U306,IF($L306&lt;&gt;"",$L306,TODAY())))-$J306)</f>
        <v/>
      </c>
      <c r="X306" s="25" t="str">
        <f aca="true">IF(OR($L306="",$M306&lt;&gt;"Active"),"",TODAY()-$L306)</f>
        <v/>
      </c>
      <c r="Y306" s="25" t="str">
        <f aca="false">IF($M306&lt;&gt;"Active","",INDEX(Lists!$C$4:$C$14,MATCH($K306,Lists!$A$4:$A$14,0)))</f>
        <v/>
      </c>
      <c r="Z306" s="25" t="str">
        <f aca="false">IF($B306="","",IF($M306&lt;&gt;"Active","Closed",IF($X306="","",IF($X306&gt;$Y306,"BREACH","On Track"))))</f>
        <v/>
      </c>
      <c r="AA306" s="25" t="str">
        <f aca="false">IF($K306="","",IFERROR(INDEX(Lists!$E$4:$E$14,MATCH($K306,Lists!$A$4:$A$14,0)),""))</f>
        <v/>
      </c>
      <c r="AB306" s="27" t="str">
        <f aca="false">IF($U306&lt;&gt;"",$U306,IF(OR($T306="",$M306&lt;&gt;"Active"),"",$T306+N($R306)))</f>
        <v/>
      </c>
      <c r="AC306" s="25" t="str">
        <f aca="false">IF(OR($T306="",$J306=""),"",$T306-$J306)</f>
        <v/>
      </c>
      <c r="AD306" s="25" t="str">
        <f aca="false">IF(AND($K306="Joined",$U306&lt;&gt;"",$J306&lt;&gt;""),$U306-$J306,"")</f>
        <v/>
      </c>
      <c r="AE306" s="25" t="str">
        <f aca="false">IF($K306="","",IF(OR($K306="Rejected",$K306="Withdrawn"),IFERROR(INDEX(Lists!$B$4:$B$14,MATCH($N306,Lists!$A$4:$A$14,0)),1),IFERROR(INDEX(Lists!$B$4:$B$14,MATCH($K306,Lists!$A$4:$A$14,0)),0)))</f>
        <v/>
      </c>
    </row>
    <row r="307" customFormat="false" ht="15" hidden="false" customHeight="false" outlineLevel="0" collapsed="false">
      <c r="A307" s="25" t="str">
        <f aca="false">IF($B307="","","C-"&amp;TEXT(ROW()-1,"0000"))</f>
        <v/>
      </c>
      <c r="B307" s="21"/>
      <c r="C307" s="21"/>
      <c r="D307" s="21"/>
      <c r="E307" s="21"/>
      <c r="F307" s="25" t="str">
        <f aca="false">IF($E307="","",IFERROR(INDEX(Requisitions!$B$2:$B$101,MATCH($E307,Requisitions!$A$2:$A$101,0)),"Unknown Req"))</f>
        <v/>
      </c>
      <c r="G307" s="25" t="str">
        <f aca="false">IF($E307="","",IFERROR(INDEX(Requisitions!$D$2:$D$101,MATCH($E307,Requisitions!$A$2:$A$101,0)),""))</f>
        <v/>
      </c>
      <c r="H307" s="21"/>
      <c r="I307" s="21"/>
      <c r="J307" s="22"/>
      <c r="K307" s="21"/>
      <c r="L307" s="22"/>
      <c r="M307" s="25" t="str">
        <f aca="false">IF($K307="","",IFERROR(INDEX(Lists!$D$4:$D$14,MATCH($K307,Lists!$A$4:$A$14,0)),"Check stage"))</f>
        <v/>
      </c>
      <c r="N307" s="21"/>
      <c r="O307" s="21"/>
      <c r="P307" s="26"/>
      <c r="Q307" s="26"/>
      <c r="R307" s="21"/>
      <c r="S307" s="21"/>
      <c r="T307" s="22"/>
      <c r="U307" s="22"/>
      <c r="V307" s="24" t="str">
        <f aca="false">IF(OR(N($P307)=0,$Q307=""),"",$Q307/$P307-1)</f>
        <v/>
      </c>
      <c r="W307" s="25" t="str">
        <f aca="true">IF($J307="","",IF($M307="Active",TODAY(),IF($U307&lt;&gt;"",$U307,IF($L307&lt;&gt;"",$L307,TODAY())))-$J307)</f>
        <v/>
      </c>
      <c r="X307" s="25" t="str">
        <f aca="true">IF(OR($L307="",$M307&lt;&gt;"Active"),"",TODAY()-$L307)</f>
        <v/>
      </c>
      <c r="Y307" s="25" t="str">
        <f aca="false">IF($M307&lt;&gt;"Active","",INDEX(Lists!$C$4:$C$14,MATCH($K307,Lists!$A$4:$A$14,0)))</f>
        <v/>
      </c>
      <c r="Z307" s="25" t="str">
        <f aca="false">IF($B307="","",IF($M307&lt;&gt;"Active","Closed",IF($X307="","",IF($X307&gt;$Y307,"BREACH","On Track"))))</f>
        <v/>
      </c>
      <c r="AA307" s="25" t="str">
        <f aca="false">IF($K307="","",IFERROR(INDEX(Lists!$E$4:$E$14,MATCH($K307,Lists!$A$4:$A$14,0)),""))</f>
        <v/>
      </c>
      <c r="AB307" s="27" t="str">
        <f aca="false">IF($U307&lt;&gt;"",$U307,IF(OR($T307="",$M307&lt;&gt;"Active"),"",$T307+N($R307)))</f>
        <v/>
      </c>
      <c r="AC307" s="25" t="str">
        <f aca="false">IF(OR($T307="",$J307=""),"",$T307-$J307)</f>
        <v/>
      </c>
      <c r="AD307" s="25" t="str">
        <f aca="false">IF(AND($K307="Joined",$U307&lt;&gt;"",$J307&lt;&gt;""),$U307-$J307,"")</f>
        <v/>
      </c>
      <c r="AE307" s="25" t="str">
        <f aca="false">IF($K307="","",IF(OR($K307="Rejected",$K307="Withdrawn"),IFERROR(INDEX(Lists!$B$4:$B$14,MATCH($N307,Lists!$A$4:$A$14,0)),1),IFERROR(INDEX(Lists!$B$4:$B$14,MATCH($K307,Lists!$A$4:$A$14,0)),0)))</f>
        <v/>
      </c>
    </row>
    <row r="308" customFormat="false" ht="15" hidden="false" customHeight="false" outlineLevel="0" collapsed="false">
      <c r="A308" s="25" t="str">
        <f aca="false">IF($B308="","","C-"&amp;TEXT(ROW()-1,"0000"))</f>
        <v/>
      </c>
      <c r="B308" s="21"/>
      <c r="C308" s="21"/>
      <c r="D308" s="21"/>
      <c r="E308" s="21"/>
      <c r="F308" s="25" t="str">
        <f aca="false">IF($E308="","",IFERROR(INDEX(Requisitions!$B$2:$B$101,MATCH($E308,Requisitions!$A$2:$A$101,0)),"Unknown Req"))</f>
        <v/>
      </c>
      <c r="G308" s="25" t="str">
        <f aca="false">IF($E308="","",IFERROR(INDEX(Requisitions!$D$2:$D$101,MATCH($E308,Requisitions!$A$2:$A$101,0)),""))</f>
        <v/>
      </c>
      <c r="H308" s="21"/>
      <c r="I308" s="21"/>
      <c r="J308" s="22"/>
      <c r="K308" s="21"/>
      <c r="L308" s="22"/>
      <c r="M308" s="25" t="str">
        <f aca="false">IF($K308="","",IFERROR(INDEX(Lists!$D$4:$D$14,MATCH($K308,Lists!$A$4:$A$14,0)),"Check stage"))</f>
        <v/>
      </c>
      <c r="N308" s="21"/>
      <c r="O308" s="21"/>
      <c r="P308" s="26"/>
      <c r="Q308" s="26"/>
      <c r="R308" s="21"/>
      <c r="S308" s="21"/>
      <c r="T308" s="22"/>
      <c r="U308" s="22"/>
      <c r="V308" s="24" t="str">
        <f aca="false">IF(OR(N($P308)=0,$Q308=""),"",$Q308/$P308-1)</f>
        <v/>
      </c>
      <c r="W308" s="25" t="str">
        <f aca="true">IF($J308="","",IF($M308="Active",TODAY(),IF($U308&lt;&gt;"",$U308,IF($L308&lt;&gt;"",$L308,TODAY())))-$J308)</f>
        <v/>
      </c>
      <c r="X308" s="25" t="str">
        <f aca="true">IF(OR($L308="",$M308&lt;&gt;"Active"),"",TODAY()-$L308)</f>
        <v/>
      </c>
      <c r="Y308" s="25" t="str">
        <f aca="false">IF($M308&lt;&gt;"Active","",INDEX(Lists!$C$4:$C$14,MATCH($K308,Lists!$A$4:$A$14,0)))</f>
        <v/>
      </c>
      <c r="Z308" s="25" t="str">
        <f aca="false">IF($B308="","",IF($M308&lt;&gt;"Active","Closed",IF($X308="","",IF($X308&gt;$Y308,"BREACH","On Track"))))</f>
        <v/>
      </c>
      <c r="AA308" s="25" t="str">
        <f aca="false">IF($K308="","",IFERROR(INDEX(Lists!$E$4:$E$14,MATCH($K308,Lists!$A$4:$A$14,0)),""))</f>
        <v/>
      </c>
      <c r="AB308" s="27" t="str">
        <f aca="false">IF($U308&lt;&gt;"",$U308,IF(OR($T308="",$M308&lt;&gt;"Active"),"",$T308+N($R308)))</f>
        <v/>
      </c>
      <c r="AC308" s="25" t="str">
        <f aca="false">IF(OR($T308="",$J308=""),"",$T308-$J308)</f>
        <v/>
      </c>
      <c r="AD308" s="25" t="str">
        <f aca="false">IF(AND($K308="Joined",$U308&lt;&gt;"",$J308&lt;&gt;""),$U308-$J308,"")</f>
        <v/>
      </c>
      <c r="AE308" s="25" t="str">
        <f aca="false">IF($K308="","",IF(OR($K308="Rejected",$K308="Withdrawn"),IFERROR(INDEX(Lists!$B$4:$B$14,MATCH($N308,Lists!$A$4:$A$14,0)),1),IFERROR(INDEX(Lists!$B$4:$B$14,MATCH($K308,Lists!$A$4:$A$14,0)),0)))</f>
        <v/>
      </c>
    </row>
    <row r="309" customFormat="false" ht="15" hidden="false" customHeight="false" outlineLevel="0" collapsed="false">
      <c r="A309" s="25" t="str">
        <f aca="false">IF($B309="","","C-"&amp;TEXT(ROW()-1,"0000"))</f>
        <v/>
      </c>
      <c r="B309" s="21"/>
      <c r="C309" s="21"/>
      <c r="D309" s="21"/>
      <c r="E309" s="21"/>
      <c r="F309" s="25" t="str">
        <f aca="false">IF($E309="","",IFERROR(INDEX(Requisitions!$B$2:$B$101,MATCH($E309,Requisitions!$A$2:$A$101,0)),"Unknown Req"))</f>
        <v/>
      </c>
      <c r="G309" s="25" t="str">
        <f aca="false">IF($E309="","",IFERROR(INDEX(Requisitions!$D$2:$D$101,MATCH($E309,Requisitions!$A$2:$A$101,0)),""))</f>
        <v/>
      </c>
      <c r="H309" s="21"/>
      <c r="I309" s="21"/>
      <c r="J309" s="22"/>
      <c r="K309" s="21"/>
      <c r="L309" s="22"/>
      <c r="M309" s="25" t="str">
        <f aca="false">IF($K309="","",IFERROR(INDEX(Lists!$D$4:$D$14,MATCH($K309,Lists!$A$4:$A$14,0)),"Check stage"))</f>
        <v/>
      </c>
      <c r="N309" s="21"/>
      <c r="O309" s="21"/>
      <c r="P309" s="26"/>
      <c r="Q309" s="26"/>
      <c r="R309" s="21"/>
      <c r="S309" s="21"/>
      <c r="T309" s="22"/>
      <c r="U309" s="22"/>
      <c r="V309" s="24" t="str">
        <f aca="false">IF(OR(N($P309)=0,$Q309=""),"",$Q309/$P309-1)</f>
        <v/>
      </c>
      <c r="W309" s="25" t="str">
        <f aca="true">IF($J309="","",IF($M309="Active",TODAY(),IF($U309&lt;&gt;"",$U309,IF($L309&lt;&gt;"",$L309,TODAY())))-$J309)</f>
        <v/>
      </c>
      <c r="X309" s="25" t="str">
        <f aca="true">IF(OR($L309="",$M309&lt;&gt;"Active"),"",TODAY()-$L309)</f>
        <v/>
      </c>
      <c r="Y309" s="25" t="str">
        <f aca="false">IF($M309&lt;&gt;"Active","",INDEX(Lists!$C$4:$C$14,MATCH($K309,Lists!$A$4:$A$14,0)))</f>
        <v/>
      </c>
      <c r="Z309" s="25" t="str">
        <f aca="false">IF($B309="","",IF($M309&lt;&gt;"Active","Closed",IF($X309="","",IF($X309&gt;$Y309,"BREACH","On Track"))))</f>
        <v/>
      </c>
      <c r="AA309" s="25" t="str">
        <f aca="false">IF($K309="","",IFERROR(INDEX(Lists!$E$4:$E$14,MATCH($K309,Lists!$A$4:$A$14,0)),""))</f>
        <v/>
      </c>
      <c r="AB309" s="27" t="str">
        <f aca="false">IF($U309&lt;&gt;"",$U309,IF(OR($T309="",$M309&lt;&gt;"Active"),"",$T309+N($R309)))</f>
        <v/>
      </c>
      <c r="AC309" s="25" t="str">
        <f aca="false">IF(OR($T309="",$J309=""),"",$T309-$J309)</f>
        <v/>
      </c>
      <c r="AD309" s="25" t="str">
        <f aca="false">IF(AND($K309="Joined",$U309&lt;&gt;"",$J309&lt;&gt;""),$U309-$J309,"")</f>
        <v/>
      </c>
      <c r="AE309" s="25" t="str">
        <f aca="false">IF($K309="","",IF(OR($K309="Rejected",$K309="Withdrawn"),IFERROR(INDEX(Lists!$B$4:$B$14,MATCH($N309,Lists!$A$4:$A$14,0)),1),IFERROR(INDEX(Lists!$B$4:$B$14,MATCH($K309,Lists!$A$4:$A$14,0)),0)))</f>
        <v/>
      </c>
    </row>
    <row r="310" customFormat="false" ht="15" hidden="false" customHeight="false" outlineLevel="0" collapsed="false">
      <c r="A310" s="25" t="str">
        <f aca="false">IF($B310="","","C-"&amp;TEXT(ROW()-1,"0000"))</f>
        <v/>
      </c>
      <c r="B310" s="21"/>
      <c r="C310" s="21"/>
      <c r="D310" s="21"/>
      <c r="E310" s="21"/>
      <c r="F310" s="25" t="str">
        <f aca="false">IF($E310="","",IFERROR(INDEX(Requisitions!$B$2:$B$101,MATCH($E310,Requisitions!$A$2:$A$101,0)),"Unknown Req"))</f>
        <v/>
      </c>
      <c r="G310" s="25" t="str">
        <f aca="false">IF($E310="","",IFERROR(INDEX(Requisitions!$D$2:$D$101,MATCH($E310,Requisitions!$A$2:$A$101,0)),""))</f>
        <v/>
      </c>
      <c r="H310" s="21"/>
      <c r="I310" s="21"/>
      <c r="J310" s="22"/>
      <c r="K310" s="21"/>
      <c r="L310" s="22"/>
      <c r="M310" s="25" t="str">
        <f aca="false">IF($K310="","",IFERROR(INDEX(Lists!$D$4:$D$14,MATCH($K310,Lists!$A$4:$A$14,0)),"Check stage"))</f>
        <v/>
      </c>
      <c r="N310" s="21"/>
      <c r="O310" s="21"/>
      <c r="P310" s="26"/>
      <c r="Q310" s="26"/>
      <c r="R310" s="21"/>
      <c r="S310" s="21"/>
      <c r="T310" s="22"/>
      <c r="U310" s="22"/>
      <c r="V310" s="24" t="str">
        <f aca="false">IF(OR(N($P310)=0,$Q310=""),"",$Q310/$P310-1)</f>
        <v/>
      </c>
      <c r="W310" s="25" t="str">
        <f aca="true">IF($J310="","",IF($M310="Active",TODAY(),IF($U310&lt;&gt;"",$U310,IF($L310&lt;&gt;"",$L310,TODAY())))-$J310)</f>
        <v/>
      </c>
      <c r="X310" s="25" t="str">
        <f aca="true">IF(OR($L310="",$M310&lt;&gt;"Active"),"",TODAY()-$L310)</f>
        <v/>
      </c>
      <c r="Y310" s="25" t="str">
        <f aca="false">IF($M310&lt;&gt;"Active","",INDEX(Lists!$C$4:$C$14,MATCH($K310,Lists!$A$4:$A$14,0)))</f>
        <v/>
      </c>
      <c r="Z310" s="25" t="str">
        <f aca="false">IF($B310="","",IF($M310&lt;&gt;"Active","Closed",IF($X310="","",IF($X310&gt;$Y310,"BREACH","On Track"))))</f>
        <v/>
      </c>
      <c r="AA310" s="25" t="str">
        <f aca="false">IF($K310="","",IFERROR(INDEX(Lists!$E$4:$E$14,MATCH($K310,Lists!$A$4:$A$14,0)),""))</f>
        <v/>
      </c>
      <c r="AB310" s="27" t="str">
        <f aca="false">IF($U310&lt;&gt;"",$U310,IF(OR($T310="",$M310&lt;&gt;"Active"),"",$T310+N($R310)))</f>
        <v/>
      </c>
      <c r="AC310" s="25" t="str">
        <f aca="false">IF(OR($T310="",$J310=""),"",$T310-$J310)</f>
        <v/>
      </c>
      <c r="AD310" s="25" t="str">
        <f aca="false">IF(AND($K310="Joined",$U310&lt;&gt;"",$J310&lt;&gt;""),$U310-$J310,"")</f>
        <v/>
      </c>
      <c r="AE310" s="25" t="str">
        <f aca="false">IF($K310="","",IF(OR($K310="Rejected",$K310="Withdrawn"),IFERROR(INDEX(Lists!$B$4:$B$14,MATCH($N310,Lists!$A$4:$A$14,0)),1),IFERROR(INDEX(Lists!$B$4:$B$14,MATCH($K310,Lists!$A$4:$A$14,0)),0)))</f>
        <v/>
      </c>
    </row>
    <row r="311" customFormat="false" ht="15" hidden="false" customHeight="false" outlineLevel="0" collapsed="false">
      <c r="A311" s="25" t="str">
        <f aca="false">IF($B311="","","C-"&amp;TEXT(ROW()-1,"0000"))</f>
        <v/>
      </c>
      <c r="B311" s="21"/>
      <c r="C311" s="21"/>
      <c r="D311" s="21"/>
      <c r="E311" s="21"/>
      <c r="F311" s="25" t="str">
        <f aca="false">IF($E311="","",IFERROR(INDEX(Requisitions!$B$2:$B$101,MATCH($E311,Requisitions!$A$2:$A$101,0)),"Unknown Req"))</f>
        <v/>
      </c>
      <c r="G311" s="25" t="str">
        <f aca="false">IF($E311="","",IFERROR(INDEX(Requisitions!$D$2:$D$101,MATCH($E311,Requisitions!$A$2:$A$101,0)),""))</f>
        <v/>
      </c>
      <c r="H311" s="21"/>
      <c r="I311" s="21"/>
      <c r="J311" s="22"/>
      <c r="K311" s="21"/>
      <c r="L311" s="22"/>
      <c r="M311" s="25" t="str">
        <f aca="false">IF($K311="","",IFERROR(INDEX(Lists!$D$4:$D$14,MATCH($K311,Lists!$A$4:$A$14,0)),"Check stage"))</f>
        <v/>
      </c>
      <c r="N311" s="21"/>
      <c r="O311" s="21"/>
      <c r="P311" s="26"/>
      <c r="Q311" s="26"/>
      <c r="R311" s="21"/>
      <c r="S311" s="21"/>
      <c r="T311" s="22"/>
      <c r="U311" s="22"/>
      <c r="V311" s="24" t="str">
        <f aca="false">IF(OR(N($P311)=0,$Q311=""),"",$Q311/$P311-1)</f>
        <v/>
      </c>
      <c r="W311" s="25" t="str">
        <f aca="true">IF($J311="","",IF($M311="Active",TODAY(),IF($U311&lt;&gt;"",$U311,IF($L311&lt;&gt;"",$L311,TODAY())))-$J311)</f>
        <v/>
      </c>
      <c r="X311" s="25" t="str">
        <f aca="true">IF(OR($L311="",$M311&lt;&gt;"Active"),"",TODAY()-$L311)</f>
        <v/>
      </c>
      <c r="Y311" s="25" t="str">
        <f aca="false">IF($M311&lt;&gt;"Active","",INDEX(Lists!$C$4:$C$14,MATCH($K311,Lists!$A$4:$A$14,0)))</f>
        <v/>
      </c>
      <c r="Z311" s="25" t="str">
        <f aca="false">IF($B311="","",IF($M311&lt;&gt;"Active","Closed",IF($X311="","",IF($X311&gt;$Y311,"BREACH","On Track"))))</f>
        <v/>
      </c>
      <c r="AA311" s="25" t="str">
        <f aca="false">IF($K311="","",IFERROR(INDEX(Lists!$E$4:$E$14,MATCH($K311,Lists!$A$4:$A$14,0)),""))</f>
        <v/>
      </c>
      <c r="AB311" s="27" t="str">
        <f aca="false">IF($U311&lt;&gt;"",$U311,IF(OR($T311="",$M311&lt;&gt;"Active"),"",$T311+N($R311)))</f>
        <v/>
      </c>
      <c r="AC311" s="25" t="str">
        <f aca="false">IF(OR($T311="",$J311=""),"",$T311-$J311)</f>
        <v/>
      </c>
      <c r="AD311" s="25" t="str">
        <f aca="false">IF(AND($K311="Joined",$U311&lt;&gt;"",$J311&lt;&gt;""),$U311-$J311,"")</f>
        <v/>
      </c>
      <c r="AE311" s="25" t="str">
        <f aca="false">IF($K311="","",IF(OR($K311="Rejected",$K311="Withdrawn"),IFERROR(INDEX(Lists!$B$4:$B$14,MATCH($N311,Lists!$A$4:$A$14,0)),1),IFERROR(INDEX(Lists!$B$4:$B$14,MATCH($K311,Lists!$A$4:$A$14,0)),0)))</f>
        <v/>
      </c>
    </row>
    <row r="312" customFormat="false" ht="15" hidden="false" customHeight="false" outlineLevel="0" collapsed="false">
      <c r="A312" s="25" t="str">
        <f aca="false">IF($B312="","","C-"&amp;TEXT(ROW()-1,"0000"))</f>
        <v/>
      </c>
      <c r="B312" s="21"/>
      <c r="C312" s="21"/>
      <c r="D312" s="21"/>
      <c r="E312" s="21"/>
      <c r="F312" s="25" t="str">
        <f aca="false">IF($E312="","",IFERROR(INDEX(Requisitions!$B$2:$B$101,MATCH($E312,Requisitions!$A$2:$A$101,0)),"Unknown Req"))</f>
        <v/>
      </c>
      <c r="G312" s="25" t="str">
        <f aca="false">IF($E312="","",IFERROR(INDEX(Requisitions!$D$2:$D$101,MATCH($E312,Requisitions!$A$2:$A$101,0)),""))</f>
        <v/>
      </c>
      <c r="H312" s="21"/>
      <c r="I312" s="21"/>
      <c r="J312" s="22"/>
      <c r="K312" s="21"/>
      <c r="L312" s="22"/>
      <c r="M312" s="25" t="str">
        <f aca="false">IF($K312="","",IFERROR(INDEX(Lists!$D$4:$D$14,MATCH($K312,Lists!$A$4:$A$14,0)),"Check stage"))</f>
        <v/>
      </c>
      <c r="N312" s="21"/>
      <c r="O312" s="21"/>
      <c r="P312" s="26"/>
      <c r="Q312" s="26"/>
      <c r="R312" s="21"/>
      <c r="S312" s="21"/>
      <c r="T312" s="22"/>
      <c r="U312" s="22"/>
      <c r="V312" s="24" t="str">
        <f aca="false">IF(OR(N($P312)=0,$Q312=""),"",$Q312/$P312-1)</f>
        <v/>
      </c>
      <c r="W312" s="25" t="str">
        <f aca="true">IF($J312="","",IF($M312="Active",TODAY(),IF($U312&lt;&gt;"",$U312,IF($L312&lt;&gt;"",$L312,TODAY())))-$J312)</f>
        <v/>
      </c>
      <c r="X312" s="25" t="str">
        <f aca="true">IF(OR($L312="",$M312&lt;&gt;"Active"),"",TODAY()-$L312)</f>
        <v/>
      </c>
      <c r="Y312" s="25" t="str">
        <f aca="false">IF($M312&lt;&gt;"Active","",INDEX(Lists!$C$4:$C$14,MATCH($K312,Lists!$A$4:$A$14,0)))</f>
        <v/>
      </c>
      <c r="Z312" s="25" t="str">
        <f aca="false">IF($B312="","",IF($M312&lt;&gt;"Active","Closed",IF($X312="","",IF($X312&gt;$Y312,"BREACH","On Track"))))</f>
        <v/>
      </c>
      <c r="AA312" s="25" t="str">
        <f aca="false">IF($K312="","",IFERROR(INDEX(Lists!$E$4:$E$14,MATCH($K312,Lists!$A$4:$A$14,0)),""))</f>
        <v/>
      </c>
      <c r="AB312" s="27" t="str">
        <f aca="false">IF($U312&lt;&gt;"",$U312,IF(OR($T312="",$M312&lt;&gt;"Active"),"",$T312+N($R312)))</f>
        <v/>
      </c>
      <c r="AC312" s="25" t="str">
        <f aca="false">IF(OR($T312="",$J312=""),"",$T312-$J312)</f>
        <v/>
      </c>
      <c r="AD312" s="25" t="str">
        <f aca="false">IF(AND($K312="Joined",$U312&lt;&gt;"",$J312&lt;&gt;""),$U312-$J312,"")</f>
        <v/>
      </c>
      <c r="AE312" s="25" t="str">
        <f aca="false">IF($K312="","",IF(OR($K312="Rejected",$K312="Withdrawn"),IFERROR(INDEX(Lists!$B$4:$B$14,MATCH($N312,Lists!$A$4:$A$14,0)),1),IFERROR(INDEX(Lists!$B$4:$B$14,MATCH($K312,Lists!$A$4:$A$14,0)),0)))</f>
        <v/>
      </c>
    </row>
    <row r="313" customFormat="false" ht="15" hidden="false" customHeight="false" outlineLevel="0" collapsed="false">
      <c r="A313" s="25" t="str">
        <f aca="false">IF($B313="","","C-"&amp;TEXT(ROW()-1,"0000"))</f>
        <v/>
      </c>
      <c r="B313" s="21"/>
      <c r="C313" s="21"/>
      <c r="D313" s="21"/>
      <c r="E313" s="21"/>
      <c r="F313" s="25" t="str">
        <f aca="false">IF($E313="","",IFERROR(INDEX(Requisitions!$B$2:$B$101,MATCH($E313,Requisitions!$A$2:$A$101,0)),"Unknown Req"))</f>
        <v/>
      </c>
      <c r="G313" s="25" t="str">
        <f aca="false">IF($E313="","",IFERROR(INDEX(Requisitions!$D$2:$D$101,MATCH($E313,Requisitions!$A$2:$A$101,0)),""))</f>
        <v/>
      </c>
      <c r="H313" s="21"/>
      <c r="I313" s="21"/>
      <c r="J313" s="22"/>
      <c r="K313" s="21"/>
      <c r="L313" s="22"/>
      <c r="M313" s="25" t="str">
        <f aca="false">IF($K313="","",IFERROR(INDEX(Lists!$D$4:$D$14,MATCH($K313,Lists!$A$4:$A$14,0)),"Check stage"))</f>
        <v/>
      </c>
      <c r="N313" s="21"/>
      <c r="O313" s="21"/>
      <c r="P313" s="26"/>
      <c r="Q313" s="26"/>
      <c r="R313" s="21"/>
      <c r="S313" s="21"/>
      <c r="T313" s="22"/>
      <c r="U313" s="22"/>
      <c r="V313" s="24" t="str">
        <f aca="false">IF(OR(N($P313)=0,$Q313=""),"",$Q313/$P313-1)</f>
        <v/>
      </c>
      <c r="W313" s="25" t="str">
        <f aca="true">IF($J313="","",IF($M313="Active",TODAY(),IF($U313&lt;&gt;"",$U313,IF($L313&lt;&gt;"",$L313,TODAY())))-$J313)</f>
        <v/>
      </c>
      <c r="X313" s="25" t="str">
        <f aca="true">IF(OR($L313="",$M313&lt;&gt;"Active"),"",TODAY()-$L313)</f>
        <v/>
      </c>
      <c r="Y313" s="25" t="str">
        <f aca="false">IF($M313&lt;&gt;"Active","",INDEX(Lists!$C$4:$C$14,MATCH($K313,Lists!$A$4:$A$14,0)))</f>
        <v/>
      </c>
      <c r="Z313" s="25" t="str">
        <f aca="false">IF($B313="","",IF($M313&lt;&gt;"Active","Closed",IF($X313="","",IF($X313&gt;$Y313,"BREACH","On Track"))))</f>
        <v/>
      </c>
      <c r="AA313" s="25" t="str">
        <f aca="false">IF($K313="","",IFERROR(INDEX(Lists!$E$4:$E$14,MATCH($K313,Lists!$A$4:$A$14,0)),""))</f>
        <v/>
      </c>
      <c r="AB313" s="27" t="str">
        <f aca="false">IF($U313&lt;&gt;"",$U313,IF(OR($T313="",$M313&lt;&gt;"Active"),"",$T313+N($R313)))</f>
        <v/>
      </c>
      <c r="AC313" s="25" t="str">
        <f aca="false">IF(OR($T313="",$J313=""),"",$T313-$J313)</f>
        <v/>
      </c>
      <c r="AD313" s="25" t="str">
        <f aca="false">IF(AND($K313="Joined",$U313&lt;&gt;"",$J313&lt;&gt;""),$U313-$J313,"")</f>
        <v/>
      </c>
      <c r="AE313" s="25" t="str">
        <f aca="false">IF($K313="","",IF(OR($K313="Rejected",$K313="Withdrawn"),IFERROR(INDEX(Lists!$B$4:$B$14,MATCH($N313,Lists!$A$4:$A$14,0)),1),IFERROR(INDEX(Lists!$B$4:$B$14,MATCH($K313,Lists!$A$4:$A$14,0)),0)))</f>
        <v/>
      </c>
    </row>
    <row r="314" customFormat="false" ht="15" hidden="false" customHeight="false" outlineLevel="0" collapsed="false">
      <c r="A314" s="25" t="str">
        <f aca="false">IF($B314="","","C-"&amp;TEXT(ROW()-1,"0000"))</f>
        <v/>
      </c>
      <c r="B314" s="21"/>
      <c r="C314" s="21"/>
      <c r="D314" s="21"/>
      <c r="E314" s="21"/>
      <c r="F314" s="25" t="str">
        <f aca="false">IF($E314="","",IFERROR(INDEX(Requisitions!$B$2:$B$101,MATCH($E314,Requisitions!$A$2:$A$101,0)),"Unknown Req"))</f>
        <v/>
      </c>
      <c r="G314" s="25" t="str">
        <f aca="false">IF($E314="","",IFERROR(INDEX(Requisitions!$D$2:$D$101,MATCH($E314,Requisitions!$A$2:$A$101,0)),""))</f>
        <v/>
      </c>
      <c r="H314" s="21"/>
      <c r="I314" s="21"/>
      <c r="J314" s="22"/>
      <c r="K314" s="21"/>
      <c r="L314" s="22"/>
      <c r="M314" s="25" t="str">
        <f aca="false">IF($K314="","",IFERROR(INDEX(Lists!$D$4:$D$14,MATCH($K314,Lists!$A$4:$A$14,0)),"Check stage"))</f>
        <v/>
      </c>
      <c r="N314" s="21"/>
      <c r="O314" s="21"/>
      <c r="P314" s="26"/>
      <c r="Q314" s="26"/>
      <c r="R314" s="21"/>
      <c r="S314" s="21"/>
      <c r="T314" s="22"/>
      <c r="U314" s="22"/>
      <c r="V314" s="24" t="str">
        <f aca="false">IF(OR(N($P314)=0,$Q314=""),"",$Q314/$P314-1)</f>
        <v/>
      </c>
      <c r="W314" s="25" t="str">
        <f aca="true">IF($J314="","",IF($M314="Active",TODAY(),IF($U314&lt;&gt;"",$U314,IF($L314&lt;&gt;"",$L314,TODAY())))-$J314)</f>
        <v/>
      </c>
      <c r="X314" s="25" t="str">
        <f aca="true">IF(OR($L314="",$M314&lt;&gt;"Active"),"",TODAY()-$L314)</f>
        <v/>
      </c>
      <c r="Y314" s="25" t="str">
        <f aca="false">IF($M314&lt;&gt;"Active","",INDEX(Lists!$C$4:$C$14,MATCH($K314,Lists!$A$4:$A$14,0)))</f>
        <v/>
      </c>
      <c r="Z314" s="25" t="str">
        <f aca="false">IF($B314="","",IF($M314&lt;&gt;"Active","Closed",IF($X314="","",IF($X314&gt;$Y314,"BREACH","On Track"))))</f>
        <v/>
      </c>
      <c r="AA314" s="25" t="str">
        <f aca="false">IF($K314="","",IFERROR(INDEX(Lists!$E$4:$E$14,MATCH($K314,Lists!$A$4:$A$14,0)),""))</f>
        <v/>
      </c>
      <c r="AB314" s="27" t="str">
        <f aca="false">IF($U314&lt;&gt;"",$U314,IF(OR($T314="",$M314&lt;&gt;"Active"),"",$T314+N($R314)))</f>
        <v/>
      </c>
      <c r="AC314" s="25" t="str">
        <f aca="false">IF(OR($T314="",$J314=""),"",$T314-$J314)</f>
        <v/>
      </c>
      <c r="AD314" s="25" t="str">
        <f aca="false">IF(AND($K314="Joined",$U314&lt;&gt;"",$J314&lt;&gt;""),$U314-$J314,"")</f>
        <v/>
      </c>
      <c r="AE314" s="25" t="str">
        <f aca="false">IF($K314="","",IF(OR($K314="Rejected",$K314="Withdrawn"),IFERROR(INDEX(Lists!$B$4:$B$14,MATCH($N314,Lists!$A$4:$A$14,0)),1),IFERROR(INDEX(Lists!$B$4:$B$14,MATCH($K314,Lists!$A$4:$A$14,0)),0)))</f>
        <v/>
      </c>
    </row>
    <row r="315" customFormat="false" ht="15" hidden="false" customHeight="false" outlineLevel="0" collapsed="false">
      <c r="A315" s="25" t="str">
        <f aca="false">IF($B315="","","C-"&amp;TEXT(ROW()-1,"0000"))</f>
        <v/>
      </c>
      <c r="B315" s="21"/>
      <c r="C315" s="21"/>
      <c r="D315" s="21"/>
      <c r="E315" s="21"/>
      <c r="F315" s="25" t="str">
        <f aca="false">IF($E315="","",IFERROR(INDEX(Requisitions!$B$2:$B$101,MATCH($E315,Requisitions!$A$2:$A$101,0)),"Unknown Req"))</f>
        <v/>
      </c>
      <c r="G315" s="25" t="str">
        <f aca="false">IF($E315="","",IFERROR(INDEX(Requisitions!$D$2:$D$101,MATCH($E315,Requisitions!$A$2:$A$101,0)),""))</f>
        <v/>
      </c>
      <c r="H315" s="21"/>
      <c r="I315" s="21"/>
      <c r="J315" s="22"/>
      <c r="K315" s="21"/>
      <c r="L315" s="22"/>
      <c r="M315" s="25" t="str">
        <f aca="false">IF($K315="","",IFERROR(INDEX(Lists!$D$4:$D$14,MATCH($K315,Lists!$A$4:$A$14,0)),"Check stage"))</f>
        <v/>
      </c>
      <c r="N315" s="21"/>
      <c r="O315" s="21"/>
      <c r="P315" s="26"/>
      <c r="Q315" s="26"/>
      <c r="R315" s="21"/>
      <c r="S315" s="21"/>
      <c r="T315" s="22"/>
      <c r="U315" s="22"/>
      <c r="V315" s="24" t="str">
        <f aca="false">IF(OR(N($P315)=0,$Q315=""),"",$Q315/$P315-1)</f>
        <v/>
      </c>
      <c r="W315" s="25" t="str">
        <f aca="true">IF($J315="","",IF($M315="Active",TODAY(),IF($U315&lt;&gt;"",$U315,IF($L315&lt;&gt;"",$L315,TODAY())))-$J315)</f>
        <v/>
      </c>
      <c r="X315" s="25" t="str">
        <f aca="true">IF(OR($L315="",$M315&lt;&gt;"Active"),"",TODAY()-$L315)</f>
        <v/>
      </c>
      <c r="Y315" s="25" t="str">
        <f aca="false">IF($M315&lt;&gt;"Active","",INDEX(Lists!$C$4:$C$14,MATCH($K315,Lists!$A$4:$A$14,0)))</f>
        <v/>
      </c>
      <c r="Z315" s="25" t="str">
        <f aca="false">IF($B315="","",IF($M315&lt;&gt;"Active","Closed",IF($X315="","",IF($X315&gt;$Y315,"BREACH","On Track"))))</f>
        <v/>
      </c>
      <c r="AA315" s="25" t="str">
        <f aca="false">IF($K315="","",IFERROR(INDEX(Lists!$E$4:$E$14,MATCH($K315,Lists!$A$4:$A$14,0)),""))</f>
        <v/>
      </c>
      <c r="AB315" s="27" t="str">
        <f aca="false">IF($U315&lt;&gt;"",$U315,IF(OR($T315="",$M315&lt;&gt;"Active"),"",$T315+N($R315)))</f>
        <v/>
      </c>
      <c r="AC315" s="25" t="str">
        <f aca="false">IF(OR($T315="",$J315=""),"",$T315-$J315)</f>
        <v/>
      </c>
      <c r="AD315" s="25" t="str">
        <f aca="false">IF(AND($K315="Joined",$U315&lt;&gt;"",$J315&lt;&gt;""),$U315-$J315,"")</f>
        <v/>
      </c>
      <c r="AE315" s="25" t="str">
        <f aca="false">IF($K315="","",IF(OR($K315="Rejected",$K315="Withdrawn"),IFERROR(INDEX(Lists!$B$4:$B$14,MATCH($N315,Lists!$A$4:$A$14,0)),1),IFERROR(INDEX(Lists!$B$4:$B$14,MATCH($K315,Lists!$A$4:$A$14,0)),0)))</f>
        <v/>
      </c>
    </row>
    <row r="316" customFormat="false" ht="15" hidden="false" customHeight="false" outlineLevel="0" collapsed="false">
      <c r="A316" s="25" t="str">
        <f aca="false">IF($B316="","","C-"&amp;TEXT(ROW()-1,"0000"))</f>
        <v/>
      </c>
      <c r="B316" s="21"/>
      <c r="C316" s="21"/>
      <c r="D316" s="21"/>
      <c r="E316" s="21"/>
      <c r="F316" s="25" t="str">
        <f aca="false">IF($E316="","",IFERROR(INDEX(Requisitions!$B$2:$B$101,MATCH($E316,Requisitions!$A$2:$A$101,0)),"Unknown Req"))</f>
        <v/>
      </c>
      <c r="G316" s="25" t="str">
        <f aca="false">IF($E316="","",IFERROR(INDEX(Requisitions!$D$2:$D$101,MATCH($E316,Requisitions!$A$2:$A$101,0)),""))</f>
        <v/>
      </c>
      <c r="H316" s="21"/>
      <c r="I316" s="21"/>
      <c r="J316" s="22"/>
      <c r="K316" s="21"/>
      <c r="L316" s="22"/>
      <c r="M316" s="25" t="str">
        <f aca="false">IF($K316="","",IFERROR(INDEX(Lists!$D$4:$D$14,MATCH($K316,Lists!$A$4:$A$14,0)),"Check stage"))</f>
        <v/>
      </c>
      <c r="N316" s="21"/>
      <c r="O316" s="21"/>
      <c r="P316" s="26"/>
      <c r="Q316" s="26"/>
      <c r="R316" s="21"/>
      <c r="S316" s="21"/>
      <c r="T316" s="22"/>
      <c r="U316" s="22"/>
      <c r="V316" s="24" t="str">
        <f aca="false">IF(OR(N($P316)=0,$Q316=""),"",$Q316/$P316-1)</f>
        <v/>
      </c>
      <c r="W316" s="25" t="str">
        <f aca="true">IF($J316="","",IF($M316="Active",TODAY(),IF($U316&lt;&gt;"",$U316,IF($L316&lt;&gt;"",$L316,TODAY())))-$J316)</f>
        <v/>
      </c>
      <c r="X316" s="25" t="str">
        <f aca="true">IF(OR($L316="",$M316&lt;&gt;"Active"),"",TODAY()-$L316)</f>
        <v/>
      </c>
      <c r="Y316" s="25" t="str">
        <f aca="false">IF($M316&lt;&gt;"Active","",INDEX(Lists!$C$4:$C$14,MATCH($K316,Lists!$A$4:$A$14,0)))</f>
        <v/>
      </c>
      <c r="Z316" s="25" t="str">
        <f aca="false">IF($B316="","",IF($M316&lt;&gt;"Active","Closed",IF($X316="","",IF($X316&gt;$Y316,"BREACH","On Track"))))</f>
        <v/>
      </c>
      <c r="AA316" s="25" t="str">
        <f aca="false">IF($K316="","",IFERROR(INDEX(Lists!$E$4:$E$14,MATCH($K316,Lists!$A$4:$A$14,0)),""))</f>
        <v/>
      </c>
      <c r="AB316" s="27" t="str">
        <f aca="false">IF($U316&lt;&gt;"",$U316,IF(OR($T316="",$M316&lt;&gt;"Active"),"",$T316+N($R316)))</f>
        <v/>
      </c>
      <c r="AC316" s="25" t="str">
        <f aca="false">IF(OR($T316="",$J316=""),"",$T316-$J316)</f>
        <v/>
      </c>
      <c r="AD316" s="25" t="str">
        <f aca="false">IF(AND($K316="Joined",$U316&lt;&gt;"",$J316&lt;&gt;""),$U316-$J316,"")</f>
        <v/>
      </c>
      <c r="AE316" s="25" t="str">
        <f aca="false">IF($K316="","",IF(OR($K316="Rejected",$K316="Withdrawn"),IFERROR(INDEX(Lists!$B$4:$B$14,MATCH($N316,Lists!$A$4:$A$14,0)),1),IFERROR(INDEX(Lists!$B$4:$B$14,MATCH($K316,Lists!$A$4:$A$14,0)),0)))</f>
        <v/>
      </c>
    </row>
    <row r="317" customFormat="false" ht="15" hidden="false" customHeight="false" outlineLevel="0" collapsed="false">
      <c r="A317" s="25" t="str">
        <f aca="false">IF($B317="","","C-"&amp;TEXT(ROW()-1,"0000"))</f>
        <v/>
      </c>
      <c r="B317" s="21"/>
      <c r="C317" s="21"/>
      <c r="D317" s="21"/>
      <c r="E317" s="21"/>
      <c r="F317" s="25" t="str">
        <f aca="false">IF($E317="","",IFERROR(INDEX(Requisitions!$B$2:$B$101,MATCH($E317,Requisitions!$A$2:$A$101,0)),"Unknown Req"))</f>
        <v/>
      </c>
      <c r="G317" s="25" t="str">
        <f aca="false">IF($E317="","",IFERROR(INDEX(Requisitions!$D$2:$D$101,MATCH($E317,Requisitions!$A$2:$A$101,0)),""))</f>
        <v/>
      </c>
      <c r="H317" s="21"/>
      <c r="I317" s="21"/>
      <c r="J317" s="22"/>
      <c r="K317" s="21"/>
      <c r="L317" s="22"/>
      <c r="M317" s="25" t="str">
        <f aca="false">IF($K317="","",IFERROR(INDEX(Lists!$D$4:$D$14,MATCH($K317,Lists!$A$4:$A$14,0)),"Check stage"))</f>
        <v/>
      </c>
      <c r="N317" s="21"/>
      <c r="O317" s="21"/>
      <c r="P317" s="26"/>
      <c r="Q317" s="26"/>
      <c r="R317" s="21"/>
      <c r="S317" s="21"/>
      <c r="T317" s="22"/>
      <c r="U317" s="22"/>
      <c r="V317" s="24" t="str">
        <f aca="false">IF(OR(N($P317)=0,$Q317=""),"",$Q317/$P317-1)</f>
        <v/>
      </c>
      <c r="W317" s="25" t="str">
        <f aca="true">IF($J317="","",IF($M317="Active",TODAY(),IF($U317&lt;&gt;"",$U317,IF($L317&lt;&gt;"",$L317,TODAY())))-$J317)</f>
        <v/>
      </c>
      <c r="X317" s="25" t="str">
        <f aca="true">IF(OR($L317="",$M317&lt;&gt;"Active"),"",TODAY()-$L317)</f>
        <v/>
      </c>
      <c r="Y317" s="25" t="str">
        <f aca="false">IF($M317&lt;&gt;"Active","",INDEX(Lists!$C$4:$C$14,MATCH($K317,Lists!$A$4:$A$14,0)))</f>
        <v/>
      </c>
      <c r="Z317" s="25" t="str">
        <f aca="false">IF($B317="","",IF($M317&lt;&gt;"Active","Closed",IF($X317="","",IF($X317&gt;$Y317,"BREACH","On Track"))))</f>
        <v/>
      </c>
      <c r="AA317" s="25" t="str">
        <f aca="false">IF($K317="","",IFERROR(INDEX(Lists!$E$4:$E$14,MATCH($K317,Lists!$A$4:$A$14,0)),""))</f>
        <v/>
      </c>
      <c r="AB317" s="27" t="str">
        <f aca="false">IF($U317&lt;&gt;"",$U317,IF(OR($T317="",$M317&lt;&gt;"Active"),"",$T317+N($R317)))</f>
        <v/>
      </c>
      <c r="AC317" s="25" t="str">
        <f aca="false">IF(OR($T317="",$J317=""),"",$T317-$J317)</f>
        <v/>
      </c>
      <c r="AD317" s="25" t="str">
        <f aca="false">IF(AND($K317="Joined",$U317&lt;&gt;"",$J317&lt;&gt;""),$U317-$J317,"")</f>
        <v/>
      </c>
      <c r="AE317" s="25" t="str">
        <f aca="false">IF($K317="","",IF(OR($K317="Rejected",$K317="Withdrawn"),IFERROR(INDEX(Lists!$B$4:$B$14,MATCH($N317,Lists!$A$4:$A$14,0)),1),IFERROR(INDEX(Lists!$B$4:$B$14,MATCH($K317,Lists!$A$4:$A$14,0)),0)))</f>
        <v/>
      </c>
    </row>
    <row r="318" customFormat="false" ht="15" hidden="false" customHeight="false" outlineLevel="0" collapsed="false">
      <c r="A318" s="25" t="str">
        <f aca="false">IF($B318="","","C-"&amp;TEXT(ROW()-1,"0000"))</f>
        <v/>
      </c>
      <c r="B318" s="21"/>
      <c r="C318" s="21"/>
      <c r="D318" s="21"/>
      <c r="E318" s="21"/>
      <c r="F318" s="25" t="str">
        <f aca="false">IF($E318="","",IFERROR(INDEX(Requisitions!$B$2:$B$101,MATCH($E318,Requisitions!$A$2:$A$101,0)),"Unknown Req"))</f>
        <v/>
      </c>
      <c r="G318" s="25" t="str">
        <f aca="false">IF($E318="","",IFERROR(INDEX(Requisitions!$D$2:$D$101,MATCH($E318,Requisitions!$A$2:$A$101,0)),""))</f>
        <v/>
      </c>
      <c r="H318" s="21"/>
      <c r="I318" s="21"/>
      <c r="J318" s="22"/>
      <c r="K318" s="21"/>
      <c r="L318" s="22"/>
      <c r="M318" s="25" t="str">
        <f aca="false">IF($K318="","",IFERROR(INDEX(Lists!$D$4:$D$14,MATCH($K318,Lists!$A$4:$A$14,0)),"Check stage"))</f>
        <v/>
      </c>
      <c r="N318" s="21"/>
      <c r="O318" s="21"/>
      <c r="P318" s="26"/>
      <c r="Q318" s="26"/>
      <c r="R318" s="21"/>
      <c r="S318" s="21"/>
      <c r="T318" s="22"/>
      <c r="U318" s="22"/>
      <c r="V318" s="24" t="str">
        <f aca="false">IF(OR(N($P318)=0,$Q318=""),"",$Q318/$P318-1)</f>
        <v/>
      </c>
      <c r="W318" s="25" t="str">
        <f aca="true">IF($J318="","",IF($M318="Active",TODAY(),IF($U318&lt;&gt;"",$U318,IF($L318&lt;&gt;"",$L318,TODAY())))-$J318)</f>
        <v/>
      </c>
      <c r="X318" s="25" t="str">
        <f aca="true">IF(OR($L318="",$M318&lt;&gt;"Active"),"",TODAY()-$L318)</f>
        <v/>
      </c>
      <c r="Y318" s="25" t="str">
        <f aca="false">IF($M318&lt;&gt;"Active","",INDEX(Lists!$C$4:$C$14,MATCH($K318,Lists!$A$4:$A$14,0)))</f>
        <v/>
      </c>
      <c r="Z318" s="25" t="str">
        <f aca="false">IF($B318="","",IF($M318&lt;&gt;"Active","Closed",IF($X318="","",IF($X318&gt;$Y318,"BREACH","On Track"))))</f>
        <v/>
      </c>
      <c r="AA318" s="25" t="str">
        <f aca="false">IF($K318="","",IFERROR(INDEX(Lists!$E$4:$E$14,MATCH($K318,Lists!$A$4:$A$14,0)),""))</f>
        <v/>
      </c>
      <c r="AB318" s="27" t="str">
        <f aca="false">IF($U318&lt;&gt;"",$U318,IF(OR($T318="",$M318&lt;&gt;"Active"),"",$T318+N($R318)))</f>
        <v/>
      </c>
      <c r="AC318" s="25" t="str">
        <f aca="false">IF(OR($T318="",$J318=""),"",$T318-$J318)</f>
        <v/>
      </c>
      <c r="AD318" s="25" t="str">
        <f aca="false">IF(AND($K318="Joined",$U318&lt;&gt;"",$J318&lt;&gt;""),$U318-$J318,"")</f>
        <v/>
      </c>
      <c r="AE318" s="25" t="str">
        <f aca="false">IF($K318="","",IF(OR($K318="Rejected",$K318="Withdrawn"),IFERROR(INDEX(Lists!$B$4:$B$14,MATCH($N318,Lists!$A$4:$A$14,0)),1),IFERROR(INDEX(Lists!$B$4:$B$14,MATCH($K318,Lists!$A$4:$A$14,0)),0)))</f>
        <v/>
      </c>
    </row>
    <row r="319" customFormat="false" ht="15" hidden="false" customHeight="false" outlineLevel="0" collapsed="false">
      <c r="A319" s="25" t="str">
        <f aca="false">IF($B319="","","C-"&amp;TEXT(ROW()-1,"0000"))</f>
        <v/>
      </c>
      <c r="B319" s="21"/>
      <c r="C319" s="21"/>
      <c r="D319" s="21"/>
      <c r="E319" s="21"/>
      <c r="F319" s="25" t="str">
        <f aca="false">IF($E319="","",IFERROR(INDEX(Requisitions!$B$2:$B$101,MATCH($E319,Requisitions!$A$2:$A$101,0)),"Unknown Req"))</f>
        <v/>
      </c>
      <c r="G319" s="25" t="str">
        <f aca="false">IF($E319="","",IFERROR(INDEX(Requisitions!$D$2:$D$101,MATCH($E319,Requisitions!$A$2:$A$101,0)),""))</f>
        <v/>
      </c>
      <c r="H319" s="21"/>
      <c r="I319" s="21"/>
      <c r="J319" s="22"/>
      <c r="K319" s="21"/>
      <c r="L319" s="22"/>
      <c r="M319" s="25" t="str">
        <f aca="false">IF($K319="","",IFERROR(INDEX(Lists!$D$4:$D$14,MATCH($K319,Lists!$A$4:$A$14,0)),"Check stage"))</f>
        <v/>
      </c>
      <c r="N319" s="21"/>
      <c r="O319" s="21"/>
      <c r="P319" s="26"/>
      <c r="Q319" s="26"/>
      <c r="R319" s="21"/>
      <c r="S319" s="21"/>
      <c r="T319" s="22"/>
      <c r="U319" s="22"/>
      <c r="V319" s="24" t="str">
        <f aca="false">IF(OR(N($P319)=0,$Q319=""),"",$Q319/$P319-1)</f>
        <v/>
      </c>
      <c r="W319" s="25" t="str">
        <f aca="true">IF($J319="","",IF($M319="Active",TODAY(),IF($U319&lt;&gt;"",$U319,IF($L319&lt;&gt;"",$L319,TODAY())))-$J319)</f>
        <v/>
      </c>
      <c r="X319" s="25" t="str">
        <f aca="true">IF(OR($L319="",$M319&lt;&gt;"Active"),"",TODAY()-$L319)</f>
        <v/>
      </c>
      <c r="Y319" s="25" t="str">
        <f aca="false">IF($M319&lt;&gt;"Active","",INDEX(Lists!$C$4:$C$14,MATCH($K319,Lists!$A$4:$A$14,0)))</f>
        <v/>
      </c>
      <c r="Z319" s="25" t="str">
        <f aca="false">IF($B319="","",IF($M319&lt;&gt;"Active","Closed",IF($X319="","",IF($X319&gt;$Y319,"BREACH","On Track"))))</f>
        <v/>
      </c>
      <c r="AA319" s="25" t="str">
        <f aca="false">IF($K319="","",IFERROR(INDEX(Lists!$E$4:$E$14,MATCH($K319,Lists!$A$4:$A$14,0)),""))</f>
        <v/>
      </c>
      <c r="AB319" s="27" t="str">
        <f aca="false">IF($U319&lt;&gt;"",$U319,IF(OR($T319="",$M319&lt;&gt;"Active"),"",$T319+N($R319)))</f>
        <v/>
      </c>
      <c r="AC319" s="25" t="str">
        <f aca="false">IF(OR($T319="",$J319=""),"",$T319-$J319)</f>
        <v/>
      </c>
      <c r="AD319" s="25" t="str">
        <f aca="false">IF(AND($K319="Joined",$U319&lt;&gt;"",$J319&lt;&gt;""),$U319-$J319,"")</f>
        <v/>
      </c>
      <c r="AE319" s="25" t="str">
        <f aca="false">IF($K319="","",IF(OR($K319="Rejected",$K319="Withdrawn"),IFERROR(INDEX(Lists!$B$4:$B$14,MATCH($N319,Lists!$A$4:$A$14,0)),1),IFERROR(INDEX(Lists!$B$4:$B$14,MATCH($K319,Lists!$A$4:$A$14,0)),0)))</f>
        <v/>
      </c>
    </row>
    <row r="320" customFormat="false" ht="15" hidden="false" customHeight="false" outlineLevel="0" collapsed="false">
      <c r="A320" s="25" t="str">
        <f aca="false">IF($B320="","","C-"&amp;TEXT(ROW()-1,"0000"))</f>
        <v/>
      </c>
      <c r="B320" s="21"/>
      <c r="C320" s="21"/>
      <c r="D320" s="21"/>
      <c r="E320" s="21"/>
      <c r="F320" s="25" t="str">
        <f aca="false">IF($E320="","",IFERROR(INDEX(Requisitions!$B$2:$B$101,MATCH($E320,Requisitions!$A$2:$A$101,0)),"Unknown Req"))</f>
        <v/>
      </c>
      <c r="G320" s="25" t="str">
        <f aca="false">IF($E320="","",IFERROR(INDEX(Requisitions!$D$2:$D$101,MATCH($E320,Requisitions!$A$2:$A$101,0)),""))</f>
        <v/>
      </c>
      <c r="H320" s="21"/>
      <c r="I320" s="21"/>
      <c r="J320" s="22"/>
      <c r="K320" s="21"/>
      <c r="L320" s="22"/>
      <c r="M320" s="25" t="str">
        <f aca="false">IF($K320="","",IFERROR(INDEX(Lists!$D$4:$D$14,MATCH($K320,Lists!$A$4:$A$14,0)),"Check stage"))</f>
        <v/>
      </c>
      <c r="N320" s="21"/>
      <c r="O320" s="21"/>
      <c r="P320" s="26"/>
      <c r="Q320" s="26"/>
      <c r="R320" s="21"/>
      <c r="S320" s="21"/>
      <c r="T320" s="22"/>
      <c r="U320" s="22"/>
      <c r="V320" s="24" t="str">
        <f aca="false">IF(OR(N($P320)=0,$Q320=""),"",$Q320/$P320-1)</f>
        <v/>
      </c>
      <c r="W320" s="25" t="str">
        <f aca="true">IF($J320="","",IF($M320="Active",TODAY(),IF($U320&lt;&gt;"",$U320,IF($L320&lt;&gt;"",$L320,TODAY())))-$J320)</f>
        <v/>
      </c>
      <c r="X320" s="25" t="str">
        <f aca="true">IF(OR($L320="",$M320&lt;&gt;"Active"),"",TODAY()-$L320)</f>
        <v/>
      </c>
      <c r="Y320" s="25" t="str">
        <f aca="false">IF($M320&lt;&gt;"Active","",INDEX(Lists!$C$4:$C$14,MATCH($K320,Lists!$A$4:$A$14,0)))</f>
        <v/>
      </c>
      <c r="Z320" s="25" t="str">
        <f aca="false">IF($B320="","",IF($M320&lt;&gt;"Active","Closed",IF($X320="","",IF($X320&gt;$Y320,"BREACH","On Track"))))</f>
        <v/>
      </c>
      <c r="AA320" s="25" t="str">
        <f aca="false">IF($K320="","",IFERROR(INDEX(Lists!$E$4:$E$14,MATCH($K320,Lists!$A$4:$A$14,0)),""))</f>
        <v/>
      </c>
      <c r="AB320" s="27" t="str">
        <f aca="false">IF($U320&lt;&gt;"",$U320,IF(OR($T320="",$M320&lt;&gt;"Active"),"",$T320+N($R320)))</f>
        <v/>
      </c>
      <c r="AC320" s="25" t="str">
        <f aca="false">IF(OR($T320="",$J320=""),"",$T320-$J320)</f>
        <v/>
      </c>
      <c r="AD320" s="25" t="str">
        <f aca="false">IF(AND($K320="Joined",$U320&lt;&gt;"",$J320&lt;&gt;""),$U320-$J320,"")</f>
        <v/>
      </c>
      <c r="AE320" s="25" t="str">
        <f aca="false">IF($K320="","",IF(OR($K320="Rejected",$K320="Withdrawn"),IFERROR(INDEX(Lists!$B$4:$B$14,MATCH($N320,Lists!$A$4:$A$14,0)),1),IFERROR(INDEX(Lists!$B$4:$B$14,MATCH($K320,Lists!$A$4:$A$14,0)),0)))</f>
        <v/>
      </c>
    </row>
    <row r="321" customFormat="false" ht="15" hidden="false" customHeight="false" outlineLevel="0" collapsed="false">
      <c r="A321" s="25" t="str">
        <f aca="false">IF($B321="","","C-"&amp;TEXT(ROW()-1,"0000"))</f>
        <v/>
      </c>
      <c r="B321" s="21"/>
      <c r="C321" s="21"/>
      <c r="D321" s="21"/>
      <c r="E321" s="21"/>
      <c r="F321" s="25" t="str">
        <f aca="false">IF($E321="","",IFERROR(INDEX(Requisitions!$B$2:$B$101,MATCH($E321,Requisitions!$A$2:$A$101,0)),"Unknown Req"))</f>
        <v/>
      </c>
      <c r="G321" s="25" t="str">
        <f aca="false">IF($E321="","",IFERROR(INDEX(Requisitions!$D$2:$D$101,MATCH($E321,Requisitions!$A$2:$A$101,0)),""))</f>
        <v/>
      </c>
      <c r="H321" s="21"/>
      <c r="I321" s="21"/>
      <c r="J321" s="22"/>
      <c r="K321" s="21"/>
      <c r="L321" s="22"/>
      <c r="M321" s="25" t="str">
        <f aca="false">IF($K321="","",IFERROR(INDEX(Lists!$D$4:$D$14,MATCH($K321,Lists!$A$4:$A$14,0)),"Check stage"))</f>
        <v/>
      </c>
      <c r="N321" s="21"/>
      <c r="O321" s="21"/>
      <c r="P321" s="26"/>
      <c r="Q321" s="26"/>
      <c r="R321" s="21"/>
      <c r="S321" s="21"/>
      <c r="T321" s="22"/>
      <c r="U321" s="22"/>
      <c r="V321" s="24" t="str">
        <f aca="false">IF(OR(N($P321)=0,$Q321=""),"",$Q321/$P321-1)</f>
        <v/>
      </c>
      <c r="W321" s="25" t="str">
        <f aca="true">IF($J321="","",IF($M321="Active",TODAY(),IF($U321&lt;&gt;"",$U321,IF($L321&lt;&gt;"",$L321,TODAY())))-$J321)</f>
        <v/>
      </c>
      <c r="X321" s="25" t="str">
        <f aca="true">IF(OR($L321="",$M321&lt;&gt;"Active"),"",TODAY()-$L321)</f>
        <v/>
      </c>
      <c r="Y321" s="25" t="str">
        <f aca="false">IF($M321&lt;&gt;"Active","",INDEX(Lists!$C$4:$C$14,MATCH($K321,Lists!$A$4:$A$14,0)))</f>
        <v/>
      </c>
      <c r="Z321" s="25" t="str">
        <f aca="false">IF($B321="","",IF($M321&lt;&gt;"Active","Closed",IF($X321="","",IF($X321&gt;$Y321,"BREACH","On Track"))))</f>
        <v/>
      </c>
      <c r="AA321" s="25" t="str">
        <f aca="false">IF($K321="","",IFERROR(INDEX(Lists!$E$4:$E$14,MATCH($K321,Lists!$A$4:$A$14,0)),""))</f>
        <v/>
      </c>
      <c r="AB321" s="27" t="str">
        <f aca="false">IF($U321&lt;&gt;"",$U321,IF(OR($T321="",$M321&lt;&gt;"Active"),"",$T321+N($R321)))</f>
        <v/>
      </c>
      <c r="AC321" s="25" t="str">
        <f aca="false">IF(OR($T321="",$J321=""),"",$T321-$J321)</f>
        <v/>
      </c>
      <c r="AD321" s="25" t="str">
        <f aca="false">IF(AND($K321="Joined",$U321&lt;&gt;"",$J321&lt;&gt;""),$U321-$J321,"")</f>
        <v/>
      </c>
      <c r="AE321" s="25" t="str">
        <f aca="false">IF($K321="","",IF(OR($K321="Rejected",$K321="Withdrawn"),IFERROR(INDEX(Lists!$B$4:$B$14,MATCH($N321,Lists!$A$4:$A$14,0)),1),IFERROR(INDEX(Lists!$B$4:$B$14,MATCH($K321,Lists!$A$4:$A$14,0)),0)))</f>
        <v/>
      </c>
    </row>
    <row r="322" customFormat="false" ht="15" hidden="false" customHeight="false" outlineLevel="0" collapsed="false">
      <c r="A322" s="25" t="str">
        <f aca="false">IF($B322="","","C-"&amp;TEXT(ROW()-1,"0000"))</f>
        <v/>
      </c>
      <c r="B322" s="21"/>
      <c r="C322" s="21"/>
      <c r="D322" s="21"/>
      <c r="E322" s="21"/>
      <c r="F322" s="25" t="str">
        <f aca="false">IF($E322="","",IFERROR(INDEX(Requisitions!$B$2:$B$101,MATCH($E322,Requisitions!$A$2:$A$101,0)),"Unknown Req"))</f>
        <v/>
      </c>
      <c r="G322" s="25" t="str">
        <f aca="false">IF($E322="","",IFERROR(INDEX(Requisitions!$D$2:$D$101,MATCH($E322,Requisitions!$A$2:$A$101,0)),""))</f>
        <v/>
      </c>
      <c r="H322" s="21"/>
      <c r="I322" s="21"/>
      <c r="J322" s="22"/>
      <c r="K322" s="21"/>
      <c r="L322" s="22"/>
      <c r="M322" s="25" t="str">
        <f aca="false">IF($K322="","",IFERROR(INDEX(Lists!$D$4:$D$14,MATCH($K322,Lists!$A$4:$A$14,0)),"Check stage"))</f>
        <v/>
      </c>
      <c r="N322" s="21"/>
      <c r="O322" s="21"/>
      <c r="P322" s="26"/>
      <c r="Q322" s="26"/>
      <c r="R322" s="21"/>
      <c r="S322" s="21"/>
      <c r="T322" s="22"/>
      <c r="U322" s="22"/>
      <c r="V322" s="24" t="str">
        <f aca="false">IF(OR(N($P322)=0,$Q322=""),"",$Q322/$P322-1)</f>
        <v/>
      </c>
      <c r="W322" s="25" t="str">
        <f aca="true">IF($J322="","",IF($M322="Active",TODAY(),IF($U322&lt;&gt;"",$U322,IF($L322&lt;&gt;"",$L322,TODAY())))-$J322)</f>
        <v/>
      </c>
      <c r="X322" s="25" t="str">
        <f aca="true">IF(OR($L322="",$M322&lt;&gt;"Active"),"",TODAY()-$L322)</f>
        <v/>
      </c>
      <c r="Y322" s="25" t="str">
        <f aca="false">IF($M322&lt;&gt;"Active","",INDEX(Lists!$C$4:$C$14,MATCH($K322,Lists!$A$4:$A$14,0)))</f>
        <v/>
      </c>
      <c r="Z322" s="25" t="str">
        <f aca="false">IF($B322="","",IF($M322&lt;&gt;"Active","Closed",IF($X322="","",IF($X322&gt;$Y322,"BREACH","On Track"))))</f>
        <v/>
      </c>
      <c r="AA322" s="25" t="str">
        <f aca="false">IF($K322="","",IFERROR(INDEX(Lists!$E$4:$E$14,MATCH($K322,Lists!$A$4:$A$14,0)),""))</f>
        <v/>
      </c>
      <c r="AB322" s="27" t="str">
        <f aca="false">IF($U322&lt;&gt;"",$U322,IF(OR($T322="",$M322&lt;&gt;"Active"),"",$T322+N($R322)))</f>
        <v/>
      </c>
      <c r="AC322" s="25" t="str">
        <f aca="false">IF(OR($T322="",$J322=""),"",$T322-$J322)</f>
        <v/>
      </c>
      <c r="AD322" s="25" t="str">
        <f aca="false">IF(AND($K322="Joined",$U322&lt;&gt;"",$J322&lt;&gt;""),$U322-$J322,"")</f>
        <v/>
      </c>
      <c r="AE322" s="25" t="str">
        <f aca="false">IF($K322="","",IF(OR($K322="Rejected",$K322="Withdrawn"),IFERROR(INDEX(Lists!$B$4:$B$14,MATCH($N322,Lists!$A$4:$A$14,0)),1),IFERROR(INDEX(Lists!$B$4:$B$14,MATCH($K322,Lists!$A$4:$A$14,0)),0)))</f>
        <v/>
      </c>
    </row>
    <row r="323" customFormat="false" ht="15" hidden="false" customHeight="false" outlineLevel="0" collapsed="false">
      <c r="A323" s="25" t="str">
        <f aca="false">IF($B323="","","C-"&amp;TEXT(ROW()-1,"0000"))</f>
        <v/>
      </c>
      <c r="B323" s="21"/>
      <c r="C323" s="21"/>
      <c r="D323" s="21"/>
      <c r="E323" s="21"/>
      <c r="F323" s="25" t="str">
        <f aca="false">IF($E323="","",IFERROR(INDEX(Requisitions!$B$2:$B$101,MATCH($E323,Requisitions!$A$2:$A$101,0)),"Unknown Req"))</f>
        <v/>
      </c>
      <c r="G323" s="25" t="str">
        <f aca="false">IF($E323="","",IFERROR(INDEX(Requisitions!$D$2:$D$101,MATCH($E323,Requisitions!$A$2:$A$101,0)),""))</f>
        <v/>
      </c>
      <c r="H323" s="21"/>
      <c r="I323" s="21"/>
      <c r="J323" s="22"/>
      <c r="K323" s="21"/>
      <c r="L323" s="22"/>
      <c r="M323" s="25" t="str">
        <f aca="false">IF($K323="","",IFERROR(INDEX(Lists!$D$4:$D$14,MATCH($K323,Lists!$A$4:$A$14,0)),"Check stage"))</f>
        <v/>
      </c>
      <c r="N323" s="21"/>
      <c r="O323" s="21"/>
      <c r="P323" s="26"/>
      <c r="Q323" s="26"/>
      <c r="R323" s="21"/>
      <c r="S323" s="21"/>
      <c r="T323" s="22"/>
      <c r="U323" s="22"/>
      <c r="V323" s="24" t="str">
        <f aca="false">IF(OR(N($P323)=0,$Q323=""),"",$Q323/$P323-1)</f>
        <v/>
      </c>
      <c r="W323" s="25" t="str">
        <f aca="true">IF($J323="","",IF($M323="Active",TODAY(),IF($U323&lt;&gt;"",$U323,IF($L323&lt;&gt;"",$L323,TODAY())))-$J323)</f>
        <v/>
      </c>
      <c r="X323" s="25" t="str">
        <f aca="true">IF(OR($L323="",$M323&lt;&gt;"Active"),"",TODAY()-$L323)</f>
        <v/>
      </c>
      <c r="Y323" s="25" t="str">
        <f aca="false">IF($M323&lt;&gt;"Active","",INDEX(Lists!$C$4:$C$14,MATCH($K323,Lists!$A$4:$A$14,0)))</f>
        <v/>
      </c>
      <c r="Z323" s="25" t="str">
        <f aca="false">IF($B323="","",IF($M323&lt;&gt;"Active","Closed",IF($X323="","",IF($X323&gt;$Y323,"BREACH","On Track"))))</f>
        <v/>
      </c>
      <c r="AA323" s="25" t="str">
        <f aca="false">IF($K323="","",IFERROR(INDEX(Lists!$E$4:$E$14,MATCH($K323,Lists!$A$4:$A$14,0)),""))</f>
        <v/>
      </c>
      <c r="AB323" s="27" t="str">
        <f aca="false">IF($U323&lt;&gt;"",$U323,IF(OR($T323="",$M323&lt;&gt;"Active"),"",$T323+N($R323)))</f>
        <v/>
      </c>
      <c r="AC323" s="25" t="str">
        <f aca="false">IF(OR($T323="",$J323=""),"",$T323-$J323)</f>
        <v/>
      </c>
      <c r="AD323" s="25" t="str">
        <f aca="false">IF(AND($K323="Joined",$U323&lt;&gt;"",$J323&lt;&gt;""),$U323-$J323,"")</f>
        <v/>
      </c>
      <c r="AE323" s="25" t="str">
        <f aca="false">IF($K323="","",IF(OR($K323="Rejected",$K323="Withdrawn"),IFERROR(INDEX(Lists!$B$4:$B$14,MATCH($N323,Lists!$A$4:$A$14,0)),1),IFERROR(INDEX(Lists!$B$4:$B$14,MATCH($K323,Lists!$A$4:$A$14,0)),0)))</f>
        <v/>
      </c>
    </row>
    <row r="324" customFormat="false" ht="15" hidden="false" customHeight="false" outlineLevel="0" collapsed="false">
      <c r="A324" s="25" t="str">
        <f aca="false">IF($B324="","","C-"&amp;TEXT(ROW()-1,"0000"))</f>
        <v/>
      </c>
      <c r="B324" s="21"/>
      <c r="C324" s="21"/>
      <c r="D324" s="21"/>
      <c r="E324" s="21"/>
      <c r="F324" s="25" t="str">
        <f aca="false">IF($E324="","",IFERROR(INDEX(Requisitions!$B$2:$B$101,MATCH($E324,Requisitions!$A$2:$A$101,0)),"Unknown Req"))</f>
        <v/>
      </c>
      <c r="G324" s="25" t="str">
        <f aca="false">IF($E324="","",IFERROR(INDEX(Requisitions!$D$2:$D$101,MATCH($E324,Requisitions!$A$2:$A$101,0)),""))</f>
        <v/>
      </c>
      <c r="H324" s="21"/>
      <c r="I324" s="21"/>
      <c r="J324" s="22"/>
      <c r="K324" s="21"/>
      <c r="L324" s="22"/>
      <c r="M324" s="25" t="str">
        <f aca="false">IF($K324="","",IFERROR(INDEX(Lists!$D$4:$D$14,MATCH($K324,Lists!$A$4:$A$14,0)),"Check stage"))</f>
        <v/>
      </c>
      <c r="N324" s="21"/>
      <c r="O324" s="21"/>
      <c r="P324" s="26"/>
      <c r="Q324" s="26"/>
      <c r="R324" s="21"/>
      <c r="S324" s="21"/>
      <c r="T324" s="22"/>
      <c r="U324" s="22"/>
      <c r="V324" s="24" t="str">
        <f aca="false">IF(OR(N($P324)=0,$Q324=""),"",$Q324/$P324-1)</f>
        <v/>
      </c>
      <c r="W324" s="25" t="str">
        <f aca="true">IF($J324="","",IF($M324="Active",TODAY(),IF($U324&lt;&gt;"",$U324,IF($L324&lt;&gt;"",$L324,TODAY())))-$J324)</f>
        <v/>
      </c>
      <c r="X324" s="25" t="str">
        <f aca="true">IF(OR($L324="",$M324&lt;&gt;"Active"),"",TODAY()-$L324)</f>
        <v/>
      </c>
      <c r="Y324" s="25" t="str">
        <f aca="false">IF($M324&lt;&gt;"Active","",INDEX(Lists!$C$4:$C$14,MATCH($K324,Lists!$A$4:$A$14,0)))</f>
        <v/>
      </c>
      <c r="Z324" s="25" t="str">
        <f aca="false">IF($B324="","",IF($M324&lt;&gt;"Active","Closed",IF($X324="","",IF($X324&gt;$Y324,"BREACH","On Track"))))</f>
        <v/>
      </c>
      <c r="AA324" s="25" t="str">
        <f aca="false">IF($K324="","",IFERROR(INDEX(Lists!$E$4:$E$14,MATCH($K324,Lists!$A$4:$A$14,0)),""))</f>
        <v/>
      </c>
      <c r="AB324" s="27" t="str">
        <f aca="false">IF($U324&lt;&gt;"",$U324,IF(OR($T324="",$M324&lt;&gt;"Active"),"",$T324+N($R324)))</f>
        <v/>
      </c>
      <c r="AC324" s="25" t="str">
        <f aca="false">IF(OR($T324="",$J324=""),"",$T324-$J324)</f>
        <v/>
      </c>
      <c r="AD324" s="25" t="str">
        <f aca="false">IF(AND($K324="Joined",$U324&lt;&gt;"",$J324&lt;&gt;""),$U324-$J324,"")</f>
        <v/>
      </c>
      <c r="AE324" s="25" t="str">
        <f aca="false">IF($K324="","",IF(OR($K324="Rejected",$K324="Withdrawn"),IFERROR(INDEX(Lists!$B$4:$B$14,MATCH($N324,Lists!$A$4:$A$14,0)),1),IFERROR(INDEX(Lists!$B$4:$B$14,MATCH($K324,Lists!$A$4:$A$14,0)),0)))</f>
        <v/>
      </c>
    </row>
    <row r="325" customFormat="false" ht="15" hidden="false" customHeight="false" outlineLevel="0" collapsed="false">
      <c r="A325" s="25" t="str">
        <f aca="false">IF($B325="","","C-"&amp;TEXT(ROW()-1,"0000"))</f>
        <v/>
      </c>
      <c r="B325" s="21"/>
      <c r="C325" s="21"/>
      <c r="D325" s="21"/>
      <c r="E325" s="21"/>
      <c r="F325" s="25" t="str">
        <f aca="false">IF($E325="","",IFERROR(INDEX(Requisitions!$B$2:$B$101,MATCH($E325,Requisitions!$A$2:$A$101,0)),"Unknown Req"))</f>
        <v/>
      </c>
      <c r="G325" s="25" t="str">
        <f aca="false">IF($E325="","",IFERROR(INDEX(Requisitions!$D$2:$D$101,MATCH($E325,Requisitions!$A$2:$A$101,0)),""))</f>
        <v/>
      </c>
      <c r="H325" s="21"/>
      <c r="I325" s="21"/>
      <c r="J325" s="22"/>
      <c r="K325" s="21"/>
      <c r="L325" s="22"/>
      <c r="M325" s="25" t="str">
        <f aca="false">IF($K325="","",IFERROR(INDEX(Lists!$D$4:$D$14,MATCH($K325,Lists!$A$4:$A$14,0)),"Check stage"))</f>
        <v/>
      </c>
      <c r="N325" s="21"/>
      <c r="O325" s="21"/>
      <c r="P325" s="26"/>
      <c r="Q325" s="26"/>
      <c r="R325" s="21"/>
      <c r="S325" s="21"/>
      <c r="T325" s="22"/>
      <c r="U325" s="22"/>
      <c r="V325" s="24" t="str">
        <f aca="false">IF(OR(N($P325)=0,$Q325=""),"",$Q325/$P325-1)</f>
        <v/>
      </c>
      <c r="W325" s="25" t="str">
        <f aca="true">IF($J325="","",IF($M325="Active",TODAY(),IF($U325&lt;&gt;"",$U325,IF($L325&lt;&gt;"",$L325,TODAY())))-$J325)</f>
        <v/>
      </c>
      <c r="X325" s="25" t="str">
        <f aca="true">IF(OR($L325="",$M325&lt;&gt;"Active"),"",TODAY()-$L325)</f>
        <v/>
      </c>
      <c r="Y325" s="25" t="str">
        <f aca="false">IF($M325&lt;&gt;"Active","",INDEX(Lists!$C$4:$C$14,MATCH($K325,Lists!$A$4:$A$14,0)))</f>
        <v/>
      </c>
      <c r="Z325" s="25" t="str">
        <f aca="false">IF($B325="","",IF($M325&lt;&gt;"Active","Closed",IF($X325="","",IF($X325&gt;$Y325,"BREACH","On Track"))))</f>
        <v/>
      </c>
      <c r="AA325" s="25" t="str">
        <f aca="false">IF($K325="","",IFERROR(INDEX(Lists!$E$4:$E$14,MATCH($K325,Lists!$A$4:$A$14,0)),""))</f>
        <v/>
      </c>
      <c r="AB325" s="27" t="str">
        <f aca="false">IF($U325&lt;&gt;"",$U325,IF(OR($T325="",$M325&lt;&gt;"Active"),"",$T325+N($R325)))</f>
        <v/>
      </c>
      <c r="AC325" s="25" t="str">
        <f aca="false">IF(OR($T325="",$J325=""),"",$T325-$J325)</f>
        <v/>
      </c>
      <c r="AD325" s="25" t="str">
        <f aca="false">IF(AND($K325="Joined",$U325&lt;&gt;"",$J325&lt;&gt;""),$U325-$J325,"")</f>
        <v/>
      </c>
      <c r="AE325" s="25" t="str">
        <f aca="false">IF($K325="","",IF(OR($K325="Rejected",$K325="Withdrawn"),IFERROR(INDEX(Lists!$B$4:$B$14,MATCH($N325,Lists!$A$4:$A$14,0)),1),IFERROR(INDEX(Lists!$B$4:$B$14,MATCH($K325,Lists!$A$4:$A$14,0)),0)))</f>
        <v/>
      </c>
    </row>
    <row r="326" customFormat="false" ht="15" hidden="false" customHeight="false" outlineLevel="0" collapsed="false">
      <c r="A326" s="25" t="str">
        <f aca="false">IF($B326="","","C-"&amp;TEXT(ROW()-1,"0000"))</f>
        <v/>
      </c>
      <c r="B326" s="21"/>
      <c r="C326" s="21"/>
      <c r="D326" s="21"/>
      <c r="E326" s="21"/>
      <c r="F326" s="25" t="str">
        <f aca="false">IF($E326="","",IFERROR(INDEX(Requisitions!$B$2:$B$101,MATCH($E326,Requisitions!$A$2:$A$101,0)),"Unknown Req"))</f>
        <v/>
      </c>
      <c r="G326" s="25" t="str">
        <f aca="false">IF($E326="","",IFERROR(INDEX(Requisitions!$D$2:$D$101,MATCH($E326,Requisitions!$A$2:$A$101,0)),""))</f>
        <v/>
      </c>
      <c r="H326" s="21"/>
      <c r="I326" s="21"/>
      <c r="J326" s="22"/>
      <c r="K326" s="21"/>
      <c r="L326" s="22"/>
      <c r="M326" s="25" t="str">
        <f aca="false">IF($K326="","",IFERROR(INDEX(Lists!$D$4:$D$14,MATCH($K326,Lists!$A$4:$A$14,0)),"Check stage"))</f>
        <v/>
      </c>
      <c r="N326" s="21"/>
      <c r="O326" s="21"/>
      <c r="P326" s="26"/>
      <c r="Q326" s="26"/>
      <c r="R326" s="21"/>
      <c r="S326" s="21"/>
      <c r="T326" s="22"/>
      <c r="U326" s="22"/>
      <c r="V326" s="24" t="str">
        <f aca="false">IF(OR(N($P326)=0,$Q326=""),"",$Q326/$P326-1)</f>
        <v/>
      </c>
      <c r="W326" s="25" t="str">
        <f aca="true">IF($J326="","",IF($M326="Active",TODAY(),IF($U326&lt;&gt;"",$U326,IF($L326&lt;&gt;"",$L326,TODAY())))-$J326)</f>
        <v/>
      </c>
      <c r="X326" s="25" t="str">
        <f aca="true">IF(OR($L326="",$M326&lt;&gt;"Active"),"",TODAY()-$L326)</f>
        <v/>
      </c>
      <c r="Y326" s="25" t="str">
        <f aca="false">IF($M326&lt;&gt;"Active","",INDEX(Lists!$C$4:$C$14,MATCH($K326,Lists!$A$4:$A$14,0)))</f>
        <v/>
      </c>
      <c r="Z326" s="25" t="str">
        <f aca="false">IF($B326="","",IF($M326&lt;&gt;"Active","Closed",IF($X326="","",IF($X326&gt;$Y326,"BREACH","On Track"))))</f>
        <v/>
      </c>
      <c r="AA326" s="25" t="str">
        <f aca="false">IF($K326="","",IFERROR(INDEX(Lists!$E$4:$E$14,MATCH($K326,Lists!$A$4:$A$14,0)),""))</f>
        <v/>
      </c>
      <c r="AB326" s="27" t="str">
        <f aca="false">IF($U326&lt;&gt;"",$U326,IF(OR($T326="",$M326&lt;&gt;"Active"),"",$T326+N($R326)))</f>
        <v/>
      </c>
      <c r="AC326" s="25" t="str">
        <f aca="false">IF(OR($T326="",$J326=""),"",$T326-$J326)</f>
        <v/>
      </c>
      <c r="AD326" s="25" t="str">
        <f aca="false">IF(AND($K326="Joined",$U326&lt;&gt;"",$J326&lt;&gt;""),$U326-$J326,"")</f>
        <v/>
      </c>
      <c r="AE326" s="25" t="str">
        <f aca="false">IF($K326="","",IF(OR($K326="Rejected",$K326="Withdrawn"),IFERROR(INDEX(Lists!$B$4:$B$14,MATCH($N326,Lists!$A$4:$A$14,0)),1),IFERROR(INDEX(Lists!$B$4:$B$14,MATCH($K326,Lists!$A$4:$A$14,0)),0)))</f>
        <v/>
      </c>
    </row>
    <row r="327" customFormat="false" ht="15" hidden="false" customHeight="false" outlineLevel="0" collapsed="false">
      <c r="A327" s="25" t="str">
        <f aca="false">IF($B327="","","C-"&amp;TEXT(ROW()-1,"0000"))</f>
        <v/>
      </c>
      <c r="B327" s="21"/>
      <c r="C327" s="21"/>
      <c r="D327" s="21"/>
      <c r="E327" s="21"/>
      <c r="F327" s="25" t="str">
        <f aca="false">IF($E327="","",IFERROR(INDEX(Requisitions!$B$2:$B$101,MATCH($E327,Requisitions!$A$2:$A$101,0)),"Unknown Req"))</f>
        <v/>
      </c>
      <c r="G327" s="25" t="str">
        <f aca="false">IF($E327="","",IFERROR(INDEX(Requisitions!$D$2:$D$101,MATCH($E327,Requisitions!$A$2:$A$101,0)),""))</f>
        <v/>
      </c>
      <c r="H327" s="21"/>
      <c r="I327" s="21"/>
      <c r="J327" s="22"/>
      <c r="K327" s="21"/>
      <c r="L327" s="22"/>
      <c r="M327" s="25" t="str">
        <f aca="false">IF($K327="","",IFERROR(INDEX(Lists!$D$4:$D$14,MATCH($K327,Lists!$A$4:$A$14,0)),"Check stage"))</f>
        <v/>
      </c>
      <c r="N327" s="21"/>
      <c r="O327" s="21"/>
      <c r="P327" s="26"/>
      <c r="Q327" s="26"/>
      <c r="R327" s="21"/>
      <c r="S327" s="21"/>
      <c r="T327" s="22"/>
      <c r="U327" s="22"/>
      <c r="V327" s="24" t="str">
        <f aca="false">IF(OR(N($P327)=0,$Q327=""),"",$Q327/$P327-1)</f>
        <v/>
      </c>
      <c r="W327" s="25" t="str">
        <f aca="true">IF($J327="","",IF($M327="Active",TODAY(),IF($U327&lt;&gt;"",$U327,IF($L327&lt;&gt;"",$L327,TODAY())))-$J327)</f>
        <v/>
      </c>
      <c r="X327" s="25" t="str">
        <f aca="true">IF(OR($L327="",$M327&lt;&gt;"Active"),"",TODAY()-$L327)</f>
        <v/>
      </c>
      <c r="Y327" s="25" t="str">
        <f aca="false">IF($M327&lt;&gt;"Active","",INDEX(Lists!$C$4:$C$14,MATCH($K327,Lists!$A$4:$A$14,0)))</f>
        <v/>
      </c>
      <c r="Z327" s="25" t="str">
        <f aca="false">IF($B327="","",IF($M327&lt;&gt;"Active","Closed",IF($X327="","",IF($X327&gt;$Y327,"BREACH","On Track"))))</f>
        <v/>
      </c>
      <c r="AA327" s="25" t="str">
        <f aca="false">IF($K327="","",IFERROR(INDEX(Lists!$E$4:$E$14,MATCH($K327,Lists!$A$4:$A$14,0)),""))</f>
        <v/>
      </c>
      <c r="AB327" s="27" t="str">
        <f aca="false">IF($U327&lt;&gt;"",$U327,IF(OR($T327="",$M327&lt;&gt;"Active"),"",$T327+N($R327)))</f>
        <v/>
      </c>
      <c r="AC327" s="25" t="str">
        <f aca="false">IF(OR($T327="",$J327=""),"",$T327-$J327)</f>
        <v/>
      </c>
      <c r="AD327" s="25" t="str">
        <f aca="false">IF(AND($K327="Joined",$U327&lt;&gt;"",$J327&lt;&gt;""),$U327-$J327,"")</f>
        <v/>
      </c>
      <c r="AE327" s="25" t="str">
        <f aca="false">IF($K327="","",IF(OR($K327="Rejected",$K327="Withdrawn"),IFERROR(INDEX(Lists!$B$4:$B$14,MATCH($N327,Lists!$A$4:$A$14,0)),1),IFERROR(INDEX(Lists!$B$4:$B$14,MATCH($K327,Lists!$A$4:$A$14,0)),0)))</f>
        <v/>
      </c>
    </row>
    <row r="328" customFormat="false" ht="15" hidden="false" customHeight="false" outlineLevel="0" collapsed="false">
      <c r="A328" s="25" t="str">
        <f aca="false">IF($B328="","","C-"&amp;TEXT(ROW()-1,"0000"))</f>
        <v/>
      </c>
      <c r="B328" s="21"/>
      <c r="C328" s="21"/>
      <c r="D328" s="21"/>
      <c r="E328" s="21"/>
      <c r="F328" s="25" t="str">
        <f aca="false">IF($E328="","",IFERROR(INDEX(Requisitions!$B$2:$B$101,MATCH($E328,Requisitions!$A$2:$A$101,0)),"Unknown Req"))</f>
        <v/>
      </c>
      <c r="G328" s="25" t="str">
        <f aca="false">IF($E328="","",IFERROR(INDEX(Requisitions!$D$2:$D$101,MATCH($E328,Requisitions!$A$2:$A$101,0)),""))</f>
        <v/>
      </c>
      <c r="H328" s="21"/>
      <c r="I328" s="21"/>
      <c r="J328" s="22"/>
      <c r="K328" s="21"/>
      <c r="L328" s="22"/>
      <c r="M328" s="25" t="str">
        <f aca="false">IF($K328="","",IFERROR(INDEX(Lists!$D$4:$D$14,MATCH($K328,Lists!$A$4:$A$14,0)),"Check stage"))</f>
        <v/>
      </c>
      <c r="N328" s="21"/>
      <c r="O328" s="21"/>
      <c r="P328" s="26"/>
      <c r="Q328" s="26"/>
      <c r="R328" s="21"/>
      <c r="S328" s="21"/>
      <c r="T328" s="22"/>
      <c r="U328" s="22"/>
      <c r="V328" s="24" t="str">
        <f aca="false">IF(OR(N($P328)=0,$Q328=""),"",$Q328/$P328-1)</f>
        <v/>
      </c>
      <c r="W328" s="25" t="str">
        <f aca="true">IF($J328="","",IF($M328="Active",TODAY(),IF($U328&lt;&gt;"",$U328,IF($L328&lt;&gt;"",$L328,TODAY())))-$J328)</f>
        <v/>
      </c>
      <c r="X328" s="25" t="str">
        <f aca="true">IF(OR($L328="",$M328&lt;&gt;"Active"),"",TODAY()-$L328)</f>
        <v/>
      </c>
      <c r="Y328" s="25" t="str">
        <f aca="false">IF($M328&lt;&gt;"Active","",INDEX(Lists!$C$4:$C$14,MATCH($K328,Lists!$A$4:$A$14,0)))</f>
        <v/>
      </c>
      <c r="Z328" s="25" t="str">
        <f aca="false">IF($B328="","",IF($M328&lt;&gt;"Active","Closed",IF($X328="","",IF($X328&gt;$Y328,"BREACH","On Track"))))</f>
        <v/>
      </c>
      <c r="AA328" s="25" t="str">
        <f aca="false">IF($K328="","",IFERROR(INDEX(Lists!$E$4:$E$14,MATCH($K328,Lists!$A$4:$A$14,0)),""))</f>
        <v/>
      </c>
      <c r="AB328" s="27" t="str">
        <f aca="false">IF($U328&lt;&gt;"",$U328,IF(OR($T328="",$M328&lt;&gt;"Active"),"",$T328+N($R328)))</f>
        <v/>
      </c>
      <c r="AC328" s="25" t="str">
        <f aca="false">IF(OR($T328="",$J328=""),"",$T328-$J328)</f>
        <v/>
      </c>
      <c r="AD328" s="25" t="str">
        <f aca="false">IF(AND($K328="Joined",$U328&lt;&gt;"",$J328&lt;&gt;""),$U328-$J328,"")</f>
        <v/>
      </c>
      <c r="AE328" s="25" t="str">
        <f aca="false">IF($K328="","",IF(OR($K328="Rejected",$K328="Withdrawn"),IFERROR(INDEX(Lists!$B$4:$B$14,MATCH($N328,Lists!$A$4:$A$14,0)),1),IFERROR(INDEX(Lists!$B$4:$B$14,MATCH($K328,Lists!$A$4:$A$14,0)),0)))</f>
        <v/>
      </c>
    </row>
    <row r="329" customFormat="false" ht="15" hidden="false" customHeight="false" outlineLevel="0" collapsed="false">
      <c r="A329" s="25" t="str">
        <f aca="false">IF($B329="","","C-"&amp;TEXT(ROW()-1,"0000"))</f>
        <v/>
      </c>
      <c r="B329" s="21"/>
      <c r="C329" s="21"/>
      <c r="D329" s="21"/>
      <c r="E329" s="21"/>
      <c r="F329" s="25" t="str">
        <f aca="false">IF($E329="","",IFERROR(INDEX(Requisitions!$B$2:$B$101,MATCH($E329,Requisitions!$A$2:$A$101,0)),"Unknown Req"))</f>
        <v/>
      </c>
      <c r="G329" s="25" t="str">
        <f aca="false">IF($E329="","",IFERROR(INDEX(Requisitions!$D$2:$D$101,MATCH($E329,Requisitions!$A$2:$A$101,0)),""))</f>
        <v/>
      </c>
      <c r="H329" s="21"/>
      <c r="I329" s="21"/>
      <c r="J329" s="22"/>
      <c r="K329" s="21"/>
      <c r="L329" s="22"/>
      <c r="M329" s="25" t="str">
        <f aca="false">IF($K329="","",IFERROR(INDEX(Lists!$D$4:$D$14,MATCH($K329,Lists!$A$4:$A$14,0)),"Check stage"))</f>
        <v/>
      </c>
      <c r="N329" s="21"/>
      <c r="O329" s="21"/>
      <c r="P329" s="26"/>
      <c r="Q329" s="26"/>
      <c r="R329" s="21"/>
      <c r="S329" s="21"/>
      <c r="T329" s="22"/>
      <c r="U329" s="22"/>
      <c r="V329" s="24" t="str">
        <f aca="false">IF(OR(N($P329)=0,$Q329=""),"",$Q329/$P329-1)</f>
        <v/>
      </c>
      <c r="W329" s="25" t="str">
        <f aca="true">IF($J329="","",IF($M329="Active",TODAY(),IF($U329&lt;&gt;"",$U329,IF($L329&lt;&gt;"",$L329,TODAY())))-$J329)</f>
        <v/>
      </c>
      <c r="X329" s="25" t="str">
        <f aca="true">IF(OR($L329="",$M329&lt;&gt;"Active"),"",TODAY()-$L329)</f>
        <v/>
      </c>
      <c r="Y329" s="25" t="str">
        <f aca="false">IF($M329&lt;&gt;"Active","",INDEX(Lists!$C$4:$C$14,MATCH($K329,Lists!$A$4:$A$14,0)))</f>
        <v/>
      </c>
      <c r="Z329" s="25" t="str">
        <f aca="false">IF($B329="","",IF($M329&lt;&gt;"Active","Closed",IF($X329="","",IF($X329&gt;$Y329,"BREACH","On Track"))))</f>
        <v/>
      </c>
      <c r="AA329" s="25" t="str">
        <f aca="false">IF($K329="","",IFERROR(INDEX(Lists!$E$4:$E$14,MATCH($K329,Lists!$A$4:$A$14,0)),""))</f>
        <v/>
      </c>
      <c r="AB329" s="27" t="str">
        <f aca="false">IF($U329&lt;&gt;"",$U329,IF(OR($T329="",$M329&lt;&gt;"Active"),"",$T329+N($R329)))</f>
        <v/>
      </c>
      <c r="AC329" s="25" t="str">
        <f aca="false">IF(OR($T329="",$J329=""),"",$T329-$J329)</f>
        <v/>
      </c>
      <c r="AD329" s="25" t="str">
        <f aca="false">IF(AND($K329="Joined",$U329&lt;&gt;"",$J329&lt;&gt;""),$U329-$J329,"")</f>
        <v/>
      </c>
      <c r="AE329" s="25" t="str">
        <f aca="false">IF($K329="","",IF(OR($K329="Rejected",$K329="Withdrawn"),IFERROR(INDEX(Lists!$B$4:$B$14,MATCH($N329,Lists!$A$4:$A$14,0)),1),IFERROR(INDEX(Lists!$B$4:$B$14,MATCH($K329,Lists!$A$4:$A$14,0)),0)))</f>
        <v/>
      </c>
    </row>
    <row r="330" customFormat="false" ht="15" hidden="false" customHeight="false" outlineLevel="0" collapsed="false">
      <c r="A330" s="25" t="str">
        <f aca="false">IF($B330="","","C-"&amp;TEXT(ROW()-1,"0000"))</f>
        <v/>
      </c>
      <c r="B330" s="21"/>
      <c r="C330" s="21"/>
      <c r="D330" s="21"/>
      <c r="E330" s="21"/>
      <c r="F330" s="25" t="str">
        <f aca="false">IF($E330="","",IFERROR(INDEX(Requisitions!$B$2:$B$101,MATCH($E330,Requisitions!$A$2:$A$101,0)),"Unknown Req"))</f>
        <v/>
      </c>
      <c r="G330" s="25" t="str">
        <f aca="false">IF($E330="","",IFERROR(INDEX(Requisitions!$D$2:$D$101,MATCH($E330,Requisitions!$A$2:$A$101,0)),""))</f>
        <v/>
      </c>
      <c r="H330" s="21"/>
      <c r="I330" s="21"/>
      <c r="J330" s="22"/>
      <c r="K330" s="21"/>
      <c r="L330" s="22"/>
      <c r="M330" s="25" t="str">
        <f aca="false">IF($K330="","",IFERROR(INDEX(Lists!$D$4:$D$14,MATCH($K330,Lists!$A$4:$A$14,0)),"Check stage"))</f>
        <v/>
      </c>
      <c r="N330" s="21"/>
      <c r="O330" s="21"/>
      <c r="P330" s="26"/>
      <c r="Q330" s="26"/>
      <c r="R330" s="21"/>
      <c r="S330" s="21"/>
      <c r="T330" s="22"/>
      <c r="U330" s="22"/>
      <c r="V330" s="24" t="str">
        <f aca="false">IF(OR(N($P330)=0,$Q330=""),"",$Q330/$P330-1)</f>
        <v/>
      </c>
      <c r="W330" s="25" t="str">
        <f aca="true">IF($J330="","",IF($M330="Active",TODAY(),IF($U330&lt;&gt;"",$U330,IF($L330&lt;&gt;"",$L330,TODAY())))-$J330)</f>
        <v/>
      </c>
      <c r="X330" s="25" t="str">
        <f aca="true">IF(OR($L330="",$M330&lt;&gt;"Active"),"",TODAY()-$L330)</f>
        <v/>
      </c>
      <c r="Y330" s="25" t="str">
        <f aca="false">IF($M330&lt;&gt;"Active","",INDEX(Lists!$C$4:$C$14,MATCH($K330,Lists!$A$4:$A$14,0)))</f>
        <v/>
      </c>
      <c r="Z330" s="25" t="str">
        <f aca="false">IF($B330="","",IF($M330&lt;&gt;"Active","Closed",IF($X330="","",IF($X330&gt;$Y330,"BREACH","On Track"))))</f>
        <v/>
      </c>
      <c r="AA330" s="25" t="str">
        <f aca="false">IF($K330="","",IFERROR(INDEX(Lists!$E$4:$E$14,MATCH($K330,Lists!$A$4:$A$14,0)),""))</f>
        <v/>
      </c>
      <c r="AB330" s="27" t="str">
        <f aca="false">IF($U330&lt;&gt;"",$U330,IF(OR($T330="",$M330&lt;&gt;"Active"),"",$T330+N($R330)))</f>
        <v/>
      </c>
      <c r="AC330" s="25" t="str">
        <f aca="false">IF(OR($T330="",$J330=""),"",$T330-$J330)</f>
        <v/>
      </c>
      <c r="AD330" s="25" t="str">
        <f aca="false">IF(AND($K330="Joined",$U330&lt;&gt;"",$J330&lt;&gt;""),$U330-$J330,"")</f>
        <v/>
      </c>
      <c r="AE330" s="25" t="str">
        <f aca="false">IF($K330="","",IF(OR($K330="Rejected",$K330="Withdrawn"),IFERROR(INDEX(Lists!$B$4:$B$14,MATCH($N330,Lists!$A$4:$A$14,0)),1),IFERROR(INDEX(Lists!$B$4:$B$14,MATCH($K330,Lists!$A$4:$A$14,0)),0)))</f>
        <v/>
      </c>
    </row>
    <row r="331" customFormat="false" ht="15" hidden="false" customHeight="false" outlineLevel="0" collapsed="false">
      <c r="A331" s="25" t="str">
        <f aca="false">IF($B331="","","C-"&amp;TEXT(ROW()-1,"0000"))</f>
        <v/>
      </c>
      <c r="B331" s="21"/>
      <c r="C331" s="21"/>
      <c r="D331" s="21"/>
      <c r="E331" s="21"/>
      <c r="F331" s="25" t="str">
        <f aca="false">IF($E331="","",IFERROR(INDEX(Requisitions!$B$2:$B$101,MATCH($E331,Requisitions!$A$2:$A$101,0)),"Unknown Req"))</f>
        <v/>
      </c>
      <c r="G331" s="25" t="str">
        <f aca="false">IF($E331="","",IFERROR(INDEX(Requisitions!$D$2:$D$101,MATCH($E331,Requisitions!$A$2:$A$101,0)),""))</f>
        <v/>
      </c>
      <c r="H331" s="21"/>
      <c r="I331" s="21"/>
      <c r="J331" s="22"/>
      <c r="K331" s="21"/>
      <c r="L331" s="22"/>
      <c r="M331" s="25" t="str">
        <f aca="false">IF($K331="","",IFERROR(INDEX(Lists!$D$4:$D$14,MATCH($K331,Lists!$A$4:$A$14,0)),"Check stage"))</f>
        <v/>
      </c>
      <c r="N331" s="21"/>
      <c r="O331" s="21"/>
      <c r="P331" s="26"/>
      <c r="Q331" s="26"/>
      <c r="R331" s="21"/>
      <c r="S331" s="21"/>
      <c r="T331" s="22"/>
      <c r="U331" s="22"/>
      <c r="V331" s="24" t="str">
        <f aca="false">IF(OR(N($P331)=0,$Q331=""),"",$Q331/$P331-1)</f>
        <v/>
      </c>
      <c r="W331" s="25" t="str">
        <f aca="true">IF($J331="","",IF($M331="Active",TODAY(),IF($U331&lt;&gt;"",$U331,IF($L331&lt;&gt;"",$L331,TODAY())))-$J331)</f>
        <v/>
      </c>
      <c r="X331" s="25" t="str">
        <f aca="true">IF(OR($L331="",$M331&lt;&gt;"Active"),"",TODAY()-$L331)</f>
        <v/>
      </c>
      <c r="Y331" s="25" t="str">
        <f aca="false">IF($M331&lt;&gt;"Active","",INDEX(Lists!$C$4:$C$14,MATCH($K331,Lists!$A$4:$A$14,0)))</f>
        <v/>
      </c>
      <c r="Z331" s="25" t="str">
        <f aca="false">IF($B331="","",IF($M331&lt;&gt;"Active","Closed",IF($X331="","",IF($X331&gt;$Y331,"BREACH","On Track"))))</f>
        <v/>
      </c>
      <c r="AA331" s="25" t="str">
        <f aca="false">IF($K331="","",IFERROR(INDEX(Lists!$E$4:$E$14,MATCH($K331,Lists!$A$4:$A$14,0)),""))</f>
        <v/>
      </c>
      <c r="AB331" s="27" t="str">
        <f aca="false">IF($U331&lt;&gt;"",$U331,IF(OR($T331="",$M331&lt;&gt;"Active"),"",$T331+N($R331)))</f>
        <v/>
      </c>
      <c r="AC331" s="25" t="str">
        <f aca="false">IF(OR($T331="",$J331=""),"",$T331-$J331)</f>
        <v/>
      </c>
      <c r="AD331" s="25" t="str">
        <f aca="false">IF(AND($K331="Joined",$U331&lt;&gt;"",$J331&lt;&gt;""),$U331-$J331,"")</f>
        <v/>
      </c>
      <c r="AE331" s="25" t="str">
        <f aca="false">IF($K331="","",IF(OR($K331="Rejected",$K331="Withdrawn"),IFERROR(INDEX(Lists!$B$4:$B$14,MATCH($N331,Lists!$A$4:$A$14,0)),1),IFERROR(INDEX(Lists!$B$4:$B$14,MATCH($K331,Lists!$A$4:$A$14,0)),0)))</f>
        <v/>
      </c>
    </row>
    <row r="332" customFormat="false" ht="15" hidden="false" customHeight="false" outlineLevel="0" collapsed="false">
      <c r="A332" s="25" t="str">
        <f aca="false">IF($B332="","","C-"&amp;TEXT(ROW()-1,"0000"))</f>
        <v/>
      </c>
      <c r="B332" s="21"/>
      <c r="C332" s="21"/>
      <c r="D332" s="21"/>
      <c r="E332" s="21"/>
      <c r="F332" s="25" t="str">
        <f aca="false">IF($E332="","",IFERROR(INDEX(Requisitions!$B$2:$B$101,MATCH($E332,Requisitions!$A$2:$A$101,0)),"Unknown Req"))</f>
        <v/>
      </c>
      <c r="G332" s="25" t="str">
        <f aca="false">IF($E332="","",IFERROR(INDEX(Requisitions!$D$2:$D$101,MATCH($E332,Requisitions!$A$2:$A$101,0)),""))</f>
        <v/>
      </c>
      <c r="H332" s="21"/>
      <c r="I332" s="21"/>
      <c r="J332" s="22"/>
      <c r="K332" s="21"/>
      <c r="L332" s="22"/>
      <c r="M332" s="25" t="str">
        <f aca="false">IF($K332="","",IFERROR(INDEX(Lists!$D$4:$D$14,MATCH($K332,Lists!$A$4:$A$14,0)),"Check stage"))</f>
        <v/>
      </c>
      <c r="N332" s="21"/>
      <c r="O332" s="21"/>
      <c r="P332" s="26"/>
      <c r="Q332" s="26"/>
      <c r="R332" s="21"/>
      <c r="S332" s="21"/>
      <c r="T332" s="22"/>
      <c r="U332" s="22"/>
      <c r="V332" s="24" t="str">
        <f aca="false">IF(OR(N($P332)=0,$Q332=""),"",$Q332/$P332-1)</f>
        <v/>
      </c>
      <c r="W332" s="25" t="str">
        <f aca="true">IF($J332="","",IF($M332="Active",TODAY(),IF($U332&lt;&gt;"",$U332,IF($L332&lt;&gt;"",$L332,TODAY())))-$J332)</f>
        <v/>
      </c>
      <c r="X332" s="25" t="str">
        <f aca="true">IF(OR($L332="",$M332&lt;&gt;"Active"),"",TODAY()-$L332)</f>
        <v/>
      </c>
      <c r="Y332" s="25" t="str">
        <f aca="false">IF($M332&lt;&gt;"Active","",INDEX(Lists!$C$4:$C$14,MATCH($K332,Lists!$A$4:$A$14,0)))</f>
        <v/>
      </c>
      <c r="Z332" s="25" t="str">
        <f aca="false">IF($B332="","",IF($M332&lt;&gt;"Active","Closed",IF($X332="","",IF($X332&gt;$Y332,"BREACH","On Track"))))</f>
        <v/>
      </c>
      <c r="AA332" s="25" t="str">
        <f aca="false">IF($K332="","",IFERROR(INDEX(Lists!$E$4:$E$14,MATCH($K332,Lists!$A$4:$A$14,0)),""))</f>
        <v/>
      </c>
      <c r="AB332" s="27" t="str">
        <f aca="false">IF($U332&lt;&gt;"",$U332,IF(OR($T332="",$M332&lt;&gt;"Active"),"",$T332+N($R332)))</f>
        <v/>
      </c>
      <c r="AC332" s="25" t="str">
        <f aca="false">IF(OR($T332="",$J332=""),"",$T332-$J332)</f>
        <v/>
      </c>
      <c r="AD332" s="25" t="str">
        <f aca="false">IF(AND($K332="Joined",$U332&lt;&gt;"",$J332&lt;&gt;""),$U332-$J332,"")</f>
        <v/>
      </c>
      <c r="AE332" s="25" t="str">
        <f aca="false">IF($K332="","",IF(OR($K332="Rejected",$K332="Withdrawn"),IFERROR(INDEX(Lists!$B$4:$B$14,MATCH($N332,Lists!$A$4:$A$14,0)),1),IFERROR(INDEX(Lists!$B$4:$B$14,MATCH($K332,Lists!$A$4:$A$14,0)),0)))</f>
        <v/>
      </c>
    </row>
    <row r="333" customFormat="false" ht="15" hidden="false" customHeight="false" outlineLevel="0" collapsed="false">
      <c r="A333" s="25" t="str">
        <f aca="false">IF($B333="","","C-"&amp;TEXT(ROW()-1,"0000"))</f>
        <v/>
      </c>
      <c r="B333" s="21"/>
      <c r="C333" s="21"/>
      <c r="D333" s="21"/>
      <c r="E333" s="21"/>
      <c r="F333" s="25" t="str">
        <f aca="false">IF($E333="","",IFERROR(INDEX(Requisitions!$B$2:$B$101,MATCH($E333,Requisitions!$A$2:$A$101,0)),"Unknown Req"))</f>
        <v/>
      </c>
      <c r="G333" s="25" t="str">
        <f aca="false">IF($E333="","",IFERROR(INDEX(Requisitions!$D$2:$D$101,MATCH($E333,Requisitions!$A$2:$A$101,0)),""))</f>
        <v/>
      </c>
      <c r="H333" s="21"/>
      <c r="I333" s="21"/>
      <c r="J333" s="22"/>
      <c r="K333" s="21"/>
      <c r="L333" s="22"/>
      <c r="M333" s="25" t="str">
        <f aca="false">IF($K333="","",IFERROR(INDEX(Lists!$D$4:$D$14,MATCH($K333,Lists!$A$4:$A$14,0)),"Check stage"))</f>
        <v/>
      </c>
      <c r="N333" s="21"/>
      <c r="O333" s="21"/>
      <c r="P333" s="26"/>
      <c r="Q333" s="26"/>
      <c r="R333" s="21"/>
      <c r="S333" s="21"/>
      <c r="T333" s="22"/>
      <c r="U333" s="22"/>
      <c r="V333" s="24" t="str">
        <f aca="false">IF(OR(N($P333)=0,$Q333=""),"",$Q333/$P333-1)</f>
        <v/>
      </c>
      <c r="W333" s="25" t="str">
        <f aca="true">IF($J333="","",IF($M333="Active",TODAY(),IF($U333&lt;&gt;"",$U333,IF($L333&lt;&gt;"",$L333,TODAY())))-$J333)</f>
        <v/>
      </c>
      <c r="X333" s="25" t="str">
        <f aca="true">IF(OR($L333="",$M333&lt;&gt;"Active"),"",TODAY()-$L333)</f>
        <v/>
      </c>
      <c r="Y333" s="25" t="str">
        <f aca="false">IF($M333&lt;&gt;"Active","",INDEX(Lists!$C$4:$C$14,MATCH($K333,Lists!$A$4:$A$14,0)))</f>
        <v/>
      </c>
      <c r="Z333" s="25" t="str">
        <f aca="false">IF($B333="","",IF($M333&lt;&gt;"Active","Closed",IF($X333="","",IF($X333&gt;$Y333,"BREACH","On Track"))))</f>
        <v/>
      </c>
      <c r="AA333" s="25" t="str">
        <f aca="false">IF($K333="","",IFERROR(INDEX(Lists!$E$4:$E$14,MATCH($K333,Lists!$A$4:$A$14,0)),""))</f>
        <v/>
      </c>
      <c r="AB333" s="27" t="str">
        <f aca="false">IF($U333&lt;&gt;"",$U333,IF(OR($T333="",$M333&lt;&gt;"Active"),"",$T333+N($R333)))</f>
        <v/>
      </c>
      <c r="AC333" s="25" t="str">
        <f aca="false">IF(OR($T333="",$J333=""),"",$T333-$J333)</f>
        <v/>
      </c>
      <c r="AD333" s="25" t="str">
        <f aca="false">IF(AND($K333="Joined",$U333&lt;&gt;"",$J333&lt;&gt;""),$U333-$J333,"")</f>
        <v/>
      </c>
      <c r="AE333" s="25" t="str">
        <f aca="false">IF($K333="","",IF(OR($K333="Rejected",$K333="Withdrawn"),IFERROR(INDEX(Lists!$B$4:$B$14,MATCH($N333,Lists!$A$4:$A$14,0)),1),IFERROR(INDEX(Lists!$B$4:$B$14,MATCH($K333,Lists!$A$4:$A$14,0)),0)))</f>
        <v/>
      </c>
    </row>
    <row r="334" customFormat="false" ht="15" hidden="false" customHeight="false" outlineLevel="0" collapsed="false">
      <c r="A334" s="25" t="str">
        <f aca="false">IF($B334="","","C-"&amp;TEXT(ROW()-1,"0000"))</f>
        <v/>
      </c>
      <c r="B334" s="21"/>
      <c r="C334" s="21"/>
      <c r="D334" s="21"/>
      <c r="E334" s="21"/>
      <c r="F334" s="25" t="str">
        <f aca="false">IF($E334="","",IFERROR(INDEX(Requisitions!$B$2:$B$101,MATCH($E334,Requisitions!$A$2:$A$101,0)),"Unknown Req"))</f>
        <v/>
      </c>
      <c r="G334" s="25" t="str">
        <f aca="false">IF($E334="","",IFERROR(INDEX(Requisitions!$D$2:$D$101,MATCH($E334,Requisitions!$A$2:$A$101,0)),""))</f>
        <v/>
      </c>
      <c r="H334" s="21"/>
      <c r="I334" s="21"/>
      <c r="J334" s="22"/>
      <c r="K334" s="21"/>
      <c r="L334" s="22"/>
      <c r="M334" s="25" t="str">
        <f aca="false">IF($K334="","",IFERROR(INDEX(Lists!$D$4:$D$14,MATCH($K334,Lists!$A$4:$A$14,0)),"Check stage"))</f>
        <v/>
      </c>
      <c r="N334" s="21"/>
      <c r="O334" s="21"/>
      <c r="P334" s="26"/>
      <c r="Q334" s="26"/>
      <c r="R334" s="21"/>
      <c r="S334" s="21"/>
      <c r="T334" s="22"/>
      <c r="U334" s="22"/>
      <c r="V334" s="24" t="str">
        <f aca="false">IF(OR(N($P334)=0,$Q334=""),"",$Q334/$P334-1)</f>
        <v/>
      </c>
      <c r="W334" s="25" t="str">
        <f aca="true">IF($J334="","",IF($M334="Active",TODAY(),IF($U334&lt;&gt;"",$U334,IF($L334&lt;&gt;"",$L334,TODAY())))-$J334)</f>
        <v/>
      </c>
      <c r="X334" s="25" t="str">
        <f aca="true">IF(OR($L334="",$M334&lt;&gt;"Active"),"",TODAY()-$L334)</f>
        <v/>
      </c>
      <c r="Y334" s="25" t="str">
        <f aca="false">IF($M334&lt;&gt;"Active","",INDEX(Lists!$C$4:$C$14,MATCH($K334,Lists!$A$4:$A$14,0)))</f>
        <v/>
      </c>
      <c r="Z334" s="25" t="str">
        <f aca="false">IF($B334="","",IF($M334&lt;&gt;"Active","Closed",IF($X334="","",IF($X334&gt;$Y334,"BREACH","On Track"))))</f>
        <v/>
      </c>
      <c r="AA334" s="25" t="str">
        <f aca="false">IF($K334="","",IFERROR(INDEX(Lists!$E$4:$E$14,MATCH($K334,Lists!$A$4:$A$14,0)),""))</f>
        <v/>
      </c>
      <c r="AB334" s="27" t="str">
        <f aca="false">IF($U334&lt;&gt;"",$U334,IF(OR($T334="",$M334&lt;&gt;"Active"),"",$T334+N($R334)))</f>
        <v/>
      </c>
      <c r="AC334" s="25" t="str">
        <f aca="false">IF(OR($T334="",$J334=""),"",$T334-$J334)</f>
        <v/>
      </c>
      <c r="AD334" s="25" t="str">
        <f aca="false">IF(AND($K334="Joined",$U334&lt;&gt;"",$J334&lt;&gt;""),$U334-$J334,"")</f>
        <v/>
      </c>
      <c r="AE334" s="25" t="str">
        <f aca="false">IF($K334="","",IF(OR($K334="Rejected",$K334="Withdrawn"),IFERROR(INDEX(Lists!$B$4:$B$14,MATCH($N334,Lists!$A$4:$A$14,0)),1),IFERROR(INDEX(Lists!$B$4:$B$14,MATCH($K334,Lists!$A$4:$A$14,0)),0)))</f>
        <v/>
      </c>
    </row>
    <row r="335" customFormat="false" ht="15" hidden="false" customHeight="false" outlineLevel="0" collapsed="false">
      <c r="A335" s="25" t="str">
        <f aca="false">IF($B335="","","C-"&amp;TEXT(ROW()-1,"0000"))</f>
        <v/>
      </c>
      <c r="B335" s="21"/>
      <c r="C335" s="21"/>
      <c r="D335" s="21"/>
      <c r="E335" s="21"/>
      <c r="F335" s="25" t="str">
        <f aca="false">IF($E335="","",IFERROR(INDEX(Requisitions!$B$2:$B$101,MATCH($E335,Requisitions!$A$2:$A$101,0)),"Unknown Req"))</f>
        <v/>
      </c>
      <c r="G335" s="25" t="str">
        <f aca="false">IF($E335="","",IFERROR(INDEX(Requisitions!$D$2:$D$101,MATCH($E335,Requisitions!$A$2:$A$101,0)),""))</f>
        <v/>
      </c>
      <c r="H335" s="21"/>
      <c r="I335" s="21"/>
      <c r="J335" s="22"/>
      <c r="K335" s="21"/>
      <c r="L335" s="22"/>
      <c r="M335" s="25" t="str">
        <f aca="false">IF($K335="","",IFERROR(INDEX(Lists!$D$4:$D$14,MATCH($K335,Lists!$A$4:$A$14,0)),"Check stage"))</f>
        <v/>
      </c>
      <c r="N335" s="21"/>
      <c r="O335" s="21"/>
      <c r="P335" s="26"/>
      <c r="Q335" s="26"/>
      <c r="R335" s="21"/>
      <c r="S335" s="21"/>
      <c r="T335" s="22"/>
      <c r="U335" s="22"/>
      <c r="V335" s="24" t="str">
        <f aca="false">IF(OR(N($P335)=0,$Q335=""),"",$Q335/$P335-1)</f>
        <v/>
      </c>
      <c r="W335" s="25" t="str">
        <f aca="true">IF($J335="","",IF($M335="Active",TODAY(),IF($U335&lt;&gt;"",$U335,IF($L335&lt;&gt;"",$L335,TODAY())))-$J335)</f>
        <v/>
      </c>
      <c r="X335" s="25" t="str">
        <f aca="true">IF(OR($L335="",$M335&lt;&gt;"Active"),"",TODAY()-$L335)</f>
        <v/>
      </c>
      <c r="Y335" s="25" t="str">
        <f aca="false">IF($M335&lt;&gt;"Active","",INDEX(Lists!$C$4:$C$14,MATCH($K335,Lists!$A$4:$A$14,0)))</f>
        <v/>
      </c>
      <c r="Z335" s="25" t="str">
        <f aca="false">IF($B335="","",IF($M335&lt;&gt;"Active","Closed",IF($X335="","",IF($X335&gt;$Y335,"BREACH","On Track"))))</f>
        <v/>
      </c>
      <c r="AA335" s="25" t="str">
        <f aca="false">IF($K335="","",IFERROR(INDEX(Lists!$E$4:$E$14,MATCH($K335,Lists!$A$4:$A$14,0)),""))</f>
        <v/>
      </c>
      <c r="AB335" s="27" t="str">
        <f aca="false">IF($U335&lt;&gt;"",$U335,IF(OR($T335="",$M335&lt;&gt;"Active"),"",$T335+N($R335)))</f>
        <v/>
      </c>
      <c r="AC335" s="25" t="str">
        <f aca="false">IF(OR($T335="",$J335=""),"",$T335-$J335)</f>
        <v/>
      </c>
      <c r="AD335" s="25" t="str">
        <f aca="false">IF(AND($K335="Joined",$U335&lt;&gt;"",$J335&lt;&gt;""),$U335-$J335,"")</f>
        <v/>
      </c>
      <c r="AE335" s="25" t="str">
        <f aca="false">IF($K335="","",IF(OR($K335="Rejected",$K335="Withdrawn"),IFERROR(INDEX(Lists!$B$4:$B$14,MATCH($N335,Lists!$A$4:$A$14,0)),1),IFERROR(INDEX(Lists!$B$4:$B$14,MATCH($K335,Lists!$A$4:$A$14,0)),0)))</f>
        <v/>
      </c>
    </row>
    <row r="336" customFormat="false" ht="15" hidden="false" customHeight="false" outlineLevel="0" collapsed="false">
      <c r="A336" s="25" t="str">
        <f aca="false">IF($B336="","","C-"&amp;TEXT(ROW()-1,"0000"))</f>
        <v/>
      </c>
      <c r="B336" s="21"/>
      <c r="C336" s="21"/>
      <c r="D336" s="21"/>
      <c r="E336" s="21"/>
      <c r="F336" s="25" t="str">
        <f aca="false">IF($E336="","",IFERROR(INDEX(Requisitions!$B$2:$B$101,MATCH($E336,Requisitions!$A$2:$A$101,0)),"Unknown Req"))</f>
        <v/>
      </c>
      <c r="G336" s="25" t="str">
        <f aca="false">IF($E336="","",IFERROR(INDEX(Requisitions!$D$2:$D$101,MATCH($E336,Requisitions!$A$2:$A$101,0)),""))</f>
        <v/>
      </c>
      <c r="H336" s="21"/>
      <c r="I336" s="21"/>
      <c r="J336" s="22"/>
      <c r="K336" s="21"/>
      <c r="L336" s="22"/>
      <c r="M336" s="25" t="str">
        <f aca="false">IF($K336="","",IFERROR(INDEX(Lists!$D$4:$D$14,MATCH($K336,Lists!$A$4:$A$14,0)),"Check stage"))</f>
        <v/>
      </c>
      <c r="N336" s="21"/>
      <c r="O336" s="21"/>
      <c r="P336" s="26"/>
      <c r="Q336" s="26"/>
      <c r="R336" s="21"/>
      <c r="S336" s="21"/>
      <c r="T336" s="22"/>
      <c r="U336" s="22"/>
      <c r="V336" s="24" t="str">
        <f aca="false">IF(OR(N($P336)=0,$Q336=""),"",$Q336/$P336-1)</f>
        <v/>
      </c>
      <c r="W336" s="25" t="str">
        <f aca="true">IF($J336="","",IF($M336="Active",TODAY(),IF($U336&lt;&gt;"",$U336,IF($L336&lt;&gt;"",$L336,TODAY())))-$J336)</f>
        <v/>
      </c>
      <c r="X336" s="25" t="str">
        <f aca="true">IF(OR($L336="",$M336&lt;&gt;"Active"),"",TODAY()-$L336)</f>
        <v/>
      </c>
      <c r="Y336" s="25" t="str">
        <f aca="false">IF($M336&lt;&gt;"Active","",INDEX(Lists!$C$4:$C$14,MATCH($K336,Lists!$A$4:$A$14,0)))</f>
        <v/>
      </c>
      <c r="Z336" s="25" t="str">
        <f aca="false">IF($B336="","",IF($M336&lt;&gt;"Active","Closed",IF($X336="","",IF($X336&gt;$Y336,"BREACH","On Track"))))</f>
        <v/>
      </c>
      <c r="AA336" s="25" t="str">
        <f aca="false">IF($K336="","",IFERROR(INDEX(Lists!$E$4:$E$14,MATCH($K336,Lists!$A$4:$A$14,0)),""))</f>
        <v/>
      </c>
      <c r="AB336" s="27" t="str">
        <f aca="false">IF($U336&lt;&gt;"",$U336,IF(OR($T336="",$M336&lt;&gt;"Active"),"",$T336+N($R336)))</f>
        <v/>
      </c>
      <c r="AC336" s="25" t="str">
        <f aca="false">IF(OR($T336="",$J336=""),"",$T336-$J336)</f>
        <v/>
      </c>
      <c r="AD336" s="25" t="str">
        <f aca="false">IF(AND($K336="Joined",$U336&lt;&gt;"",$J336&lt;&gt;""),$U336-$J336,"")</f>
        <v/>
      </c>
      <c r="AE336" s="25" t="str">
        <f aca="false">IF($K336="","",IF(OR($K336="Rejected",$K336="Withdrawn"),IFERROR(INDEX(Lists!$B$4:$B$14,MATCH($N336,Lists!$A$4:$A$14,0)),1),IFERROR(INDEX(Lists!$B$4:$B$14,MATCH($K336,Lists!$A$4:$A$14,0)),0)))</f>
        <v/>
      </c>
    </row>
    <row r="337" customFormat="false" ht="15" hidden="false" customHeight="false" outlineLevel="0" collapsed="false">
      <c r="A337" s="25" t="str">
        <f aca="false">IF($B337="","","C-"&amp;TEXT(ROW()-1,"0000"))</f>
        <v/>
      </c>
      <c r="B337" s="21"/>
      <c r="C337" s="21"/>
      <c r="D337" s="21"/>
      <c r="E337" s="21"/>
      <c r="F337" s="25" t="str">
        <f aca="false">IF($E337="","",IFERROR(INDEX(Requisitions!$B$2:$B$101,MATCH($E337,Requisitions!$A$2:$A$101,0)),"Unknown Req"))</f>
        <v/>
      </c>
      <c r="G337" s="25" t="str">
        <f aca="false">IF($E337="","",IFERROR(INDEX(Requisitions!$D$2:$D$101,MATCH($E337,Requisitions!$A$2:$A$101,0)),""))</f>
        <v/>
      </c>
      <c r="H337" s="21"/>
      <c r="I337" s="21"/>
      <c r="J337" s="22"/>
      <c r="K337" s="21"/>
      <c r="L337" s="22"/>
      <c r="M337" s="25" t="str">
        <f aca="false">IF($K337="","",IFERROR(INDEX(Lists!$D$4:$D$14,MATCH($K337,Lists!$A$4:$A$14,0)),"Check stage"))</f>
        <v/>
      </c>
      <c r="N337" s="21"/>
      <c r="O337" s="21"/>
      <c r="P337" s="26"/>
      <c r="Q337" s="26"/>
      <c r="R337" s="21"/>
      <c r="S337" s="21"/>
      <c r="T337" s="22"/>
      <c r="U337" s="22"/>
      <c r="V337" s="24" t="str">
        <f aca="false">IF(OR(N($P337)=0,$Q337=""),"",$Q337/$P337-1)</f>
        <v/>
      </c>
      <c r="W337" s="25" t="str">
        <f aca="true">IF($J337="","",IF($M337="Active",TODAY(),IF($U337&lt;&gt;"",$U337,IF($L337&lt;&gt;"",$L337,TODAY())))-$J337)</f>
        <v/>
      </c>
      <c r="X337" s="25" t="str">
        <f aca="true">IF(OR($L337="",$M337&lt;&gt;"Active"),"",TODAY()-$L337)</f>
        <v/>
      </c>
      <c r="Y337" s="25" t="str">
        <f aca="false">IF($M337&lt;&gt;"Active","",INDEX(Lists!$C$4:$C$14,MATCH($K337,Lists!$A$4:$A$14,0)))</f>
        <v/>
      </c>
      <c r="Z337" s="25" t="str">
        <f aca="false">IF($B337="","",IF($M337&lt;&gt;"Active","Closed",IF($X337="","",IF($X337&gt;$Y337,"BREACH","On Track"))))</f>
        <v/>
      </c>
      <c r="AA337" s="25" t="str">
        <f aca="false">IF($K337="","",IFERROR(INDEX(Lists!$E$4:$E$14,MATCH($K337,Lists!$A$4:$A$14,0)),""))</f>
        <v/>
      </c>
      <c r="AB337" s="27" t="str">
        <f aca="false">IF($U337&lt;&gt;"",$U337,IF(OR($T337="",$M337&lt;&gt;"Active"),"",$T337+N($R337)))</f>
        <v/>
      </c>
      <c r="AC337" s="25" t="str">
        <f aca="false">IF(OR($T337="",$J337=""),"",$T337-$J337)</f>
        <v/>
      </c>
      <c r="AD337" s="25" t="str">
        <f aca="false">IF(AND($K337="Joined",$U337&lt;&gt;"",$J337&lt;&gt;""),$U337-$J337,"")</f>
        <v/>
      </c>
      <c r="AE337" s="25" t="str">
        <f aca="false">IF($K337="","",IF(OR($K337="Rejected",$K337="Withdrawn"),IFERROR(INDEX(Lists!$B$4:$B$14,MATCH($N337,Lists!$A$4:$A$14,0)),1),IFERROR(INDEX(Lists!$B$4:$B$14,MATCH($K337,Lists!$A$4:$A$14,0)),0)))</f>
        <v/>
      </c>
    </row>
    <row r="338" customFormat="false" ht="15" hidden="false" customHeight="false" outlineLevel="0" collapsed="false">
      <c r="A338" s="25" t="str">
        <f aca="false">IF($B338="","","C-"&amp;TEXT(ROW()-1,"0000"))</f>
        <v/>
      </c>
      <c r="B338" s="21"/>
      <c r="C338" s="21"/>
      <c r="D338" s="21"/>
      <c r="E338" s="21"/>
      <c r="F338" s="25" t="str">
        <f aca="false">IF($E338="","",IFERROR(INDEX(Requisitions!$B$2:$B$101,MATCH($E338,Requisitions!$A$2:$A$101,0)),"Unknown Req"))</f>
        <v/>
      </c>
      <c r="G338" s="25" t="str">
        <f aca="false">IF($E338="","",IFERROR(INDEX(Requisitions!$D$2:$D$101,MATCH($E338,Requisitions!$A$2:$A$101,0)),""))</f>
        <v/>
      </c>
      <c r="H338" s="21"/>
      <c r="I338" s="21"/>
      <c r="J338" s="22"/>
      <c r="K338" s="21"/>
      <c r="L338" s="22"/>
      <c r="M338" s="25" t="str">
        <f aca="false">IF($K338="","",IFERROR(INDEX(Lists!$D$4:$D$14,MATCH($K338,Lists!$A$4:$A$14,0)),"Check stage"))</f>
        <v/>
      </c>
      <c r="N338" s="21"/>
      <c r="O338" s="21"/>
      <c r="P338" s="26"/>
      <c r="Q338" s="26"/>
      <c r="R338" s="21"/>
      <c r="S338" s="21"/>
      <c r="T338" s="22"/>
      <c r="U338" s="22"/>
      <c r="V338" s="24" t="str">
        <f aca="false">IF(OR(N($P338)=0,$Q338=""),"",$Q338/$P338-1)</f>
        <v/>
      </c>
      <c r="W338" s="25" t="str">
        <f aca="true">IF($J338="","",IF($M338="Active",TODAY(),IF($U338&lt;&gt;"",$U338,IF($L338&lt;&gt;"",$L338,TODAY())))-$J338)</f>
        <v/>
      </c>
      <c r="X338" s="25" t="str">
        <f aca="true">IF(OR($L338="",$M338&lt;&gt;"Active"),"",TODAY()-$L338)</f>
        <v/>
      </c>
      <c r="Y338" s="25" t="str">
        <f aca="false">IF($M338&lt;&gt;"Active","",INDEX(Lists!$C$4:$C$14,MATCH($K338,Lists!$A$4:$A$14,0)))</f>
        <v/>
      </c>
      <c r="Z338" s="25" t="str">
        <f aca="false">IF($B338="","",IF($M338&lt;&gt;"Active","Closed",IF($X338="","",IF($X338&gt;$Y338,"BREACH","On Track"))))</f>
        <v/>
      </c>
      <c r="AA338" s="25" t="str">
        <f aca="false">IF($K338="","",IFERROR(INDEX(Lists!$E$4:$E$14,MATCH($K338,Lists!$A$4:$A$14,0)),""))</f>
        <v/>
      </c>
      <c r="AB338" s="27" t="str">
        <f aca="false">IF($U338&lt;&gt;"",$U338,IF(OR($T338="",$M338&lt;&gt;"Active"),"",$T338+N($R338)))</f>
        <v/>
      </c>
      <c r="AC338" s="25" t="str">
        <f aca="false">IF(OR($T338="",$J338=""),"",$T338-$J338)</f>
        <v/>
      </c>
      <c r="AD338" s="25" t="str">
        <f aca="false">IF(AND($K338="Joined",$U338&lt;&gt;"",$J338&lt;&gt;""),$U338-$J338,"")</f>
        <v/>
      </c>
      <c r="AE338" s="25" t="str">
        <f aca="false">IF($K338="","",IF(OR($K338="Rejected",$K338="Withdrawn"),IFERROR(INDEX(Lists!$B$4:$B$14,MATCH($N338,Lists!$A$4:$A$14,0)),1),IFERROR(INDEX(Lists!$B$4:$B$14,MATCH($K338,Lists!$A$4:$A$14,0)),0)))</f>
        <v/>
      </c>
    </row>
    <row r="339" customFormat="false" ht="15" hidden="false" customHeight="false" outlineLevel="0" collapsed="false">
      <c r="A339" s="25" t="str">
        <f aca="false">IF($B339="","","C-"&amp;TEXT(ROW()-1,"0000"))</f>
        <v/>
      </c>
      <c r="B339" s="21"/>
      <c r="C339" s="21"/>
      <c r="D339" s="21"/>
      <c r="E339" s="21"/>
      <c r="F339" s="25" t="str">
        <f aca="false">IF($E339="","",IFERROR(INDEX(Requisitions!$B$2:$B$101,MATCH($E339,Requisitions!$A$2:$A$101,0)),"Unknown Req"))</f>
        <v/>
      </c>
      <c r="G339" s="25" t="str">
        <f aca="false">IF($E339="","",IFERROR(INDEX(Requisitions!$D$2:$D$101,MATCH($E339,Requisitions!$A$2:$A$101,0)),""))</f>
        <v/>
      </c>
      <c r="H339" s="21"/>
      <c r="I339" s="21"/>
      <c r="J339" s="22"/>
      <c r="K339" s="21"/>
      <c r="L339" s="22"/>
      <c r="M339" s="25" t="str">
        <f aca="false">IF($K339="","",IFERROR(INDEX(Lists!$D$4:$D$14,MATCH($K339,Lists!$A$4:$A$14,0)),"Check stage"))</f>
        <v/>
      </c>
      <c r="N339" s="21"/>
      <c r="O339" s="21"/>
      <c r="P339" s="26"/>
      <c r="Q339" s="26"/>
      <c r="R339" s="21"/>
      <c r="S339" s="21"/>
      <c r="T339" s="22"/>
      <c r="U339" s="22"/>
      <c r="V339" s="24" t="str">
        <f aca="false">IF(OR(N($P339)=0,$Q339=""),"",$Q339/$P339-1)</f>
        <v/>
      </c>
      <c r="W339" s="25" t="str">
        <f aca="true">IF($J339="","",IF($M339="Active",TODAY(),IF($U339&lt;&gt;"",$U339,IF($L339&lt;&gt;"",$L339,TODAY())))-$J339)</f>
        <v/>
      </c>
      <c r="X339" s="25" t="str">
        <f aca="true">IF(OR($L339="",$M339&lt;&gt;"Active"),"",TODAY()-$L339)</f>
        <v/>
      </c>
      <c r="Y339" s="25" t="str">
        <f aca="false">IF($M339&lt;&gt;"Active","",INDEX(Lists!$C$4:$C$14,MATCH($K339,Lists!$A$4:$A$14,0)))</f>
        <v/>
      </c>
      <c r="Z339" s="25" t="str">
        <f aca="false">IF($B339="","",IF($M339&lt;&gt;"Active","Closed",IF($X339="","",IF($X339&gt;$Y339,"BREACH","On Track"))))</f>
        <v/>
      </c>
      <c r="AA339" s="25" t="str">
        <f aca="false">IF($K339="","",IFERROR(INDEX(Lists!$E$4:$E$14,MATCH($K339,Lists!$A$4:$A$14,0)),""))</f>
        <v/>
      </c>
      <c r="AB339" s="27" t="str">
        <f aca="false">IF($U339&lt;&gt;"",$U339,IF(OR($T339="",$M339&lt;&gt;"Active"),"",$T339+N($R339)))</f>
        <v/>
      </c>
      <c r="AC339" s="25" t="str">
        <f aca="false">IF(OR($T339="",$J339=""),"",$T339-$J339)</f>
        <v/>
      </c>
      <c r="AD339" s="25" t="str">
        <f aca="false">IF(AND($K339="Joined",$U339&lt;&gt;"",$J339&lt;&gt;""),$U339-$J339,"")</f>
        <v/>
      </c>
      <c r="AE339" s="25" t="str">
        <f aca="false">IF($K339="","",IF(OR($K339="Rejected",$K339="Withdrawn"),IFERROR(INDEX(Lists!$B$4:$B$14,MATCH($N339,Lists!$A$4:$A$14,0)),1),IFERROR(INDEX(Lists!$B$4:$B$14,MATCH($K339,Lists!$A$4:$A$14,0)),0)))</f>
        <v/>
      </c>
    </row>
    <row r="340" customFormat="false" ht="15" hidden="false" customHeight="false" outlineLevel="0" collapsed="false">
      <c r="A340" s="25" t="str">
        <f aca="false">IF($B340="","","C-"&amp;TEXT(ROW()-1,"0000"))</f>
        <v/>
      </c>
      <c r="B340" s="21"/>
      <c r="C340" s="21"/>
      <c r="D340" s="21"/>
      <c r="E340" s="21"/>
      <c r="F340" s="25" t="str">
        <f aca="false">IF($E340="","",IFERROR(INDEX(Requisitions!$B$2:$B$101,MATCH($E340,Requisitions!$A$2:$A$101,0)),"Unknown Req"))</f>
        <v/>
      </c>
      <c r="G340" s="25" t="str">
        <f aca="false">IF($E340="","",IFERROR(INDEX(Requisitions!$D$2:$D$101,MATCH($E340,Requisitions!$A$2:$A$101,0)),""))</f>
        <v/>
      </c>
      <c r="H340" s="21"/>
      <c r="I340" s="21"/>
      <c r="J340" s="22"/>
      <c r="K340" s="21"/>
      <c r="L340" s="22"/>
      <c r="M340" s="25" t="str">
        <f aca="false">IF($K340="","",IFERROR(INDEX(Lists!$D$4:$D$14,MATCH($K340,Lists!$A$4:$A$14,0)),"Check stage"))</f>
        <v/>
      </c>
      <c r="N340" s="21"/>
      <c r="O340" s="21"/>
      <c r="P340" s="26"/>
      <c r="Q340" s="26"/>
      <c r="R340" s="21"/>
      <c r="S340" s="21"/>
      <c r="T340" s="22"/>
      <c r="U340" s="22"/>
      <c r="V340" s="24" t="str">
        <f aca="false">IF(OR(N($P340)=0,$Q340=""),"",$Q340/$P340-1)</f>
        <v/>
      </c>
      <c r="W340" s="25" t="str">
        <f aca="true">IF($J340="","",IF($M340="Active",TODAY(),IF($U340&lt;&gt;"",$U340,IF($L340&lt;&gt;"",$L340,TODAY())))-$J340)</f>
        <v/>
      </c>
      <c r="X340" s="25" t="str">
        <f aca="true">IF(OR($L340="",$M340&lt;&gt;"Active"),"",TODAY()-$L340)</f>
        <v/>
      </c>
      <c r="Y340" s="25" t="str">
        <f aca="false">IF($M340&lt;&gt;"Active","",INDEX(Lists!$C$4:$C$14,MATCH($K340,Lists!$A$4:$A$14,0)))</f>
        <v/>
      </c>
      <c r="Z340" s="25" t="str">
        <f aca="false">IF($B340="","",IF($M340&lt;&gt;"Active","Closed",IF($X340="","",IF($X340&gt;$Y340,"BREACH","On Track"))))</f>
        <v/>
      </c>
      <c r="AA340" s="25" t="str">
        <f aca="false">IF($K340="","",IFERROR(INDEX(Lists!$E$4:$E$14,MATCH($K340,Lists!$A$4:$A$14,0)),""))</f>
        <v/>
      </c>
      <c r="AB340" s="27" t="str">
        <f aca="false">IF($U340&lt;&gt;"",$U340,IF(OR($T340="",$M340&lt;&gt;"Active"),"",$T340+N($R340)))</f>
        <v/>
      </c>
      <c r="AC340" s="25" t="str">
        <f aca="false">IF(OR($T340="",$J340=""),"",$T340-$J340)</f>
        <v/>
      </c>
      <c r="AD340" s="25" t="str">
        <f aca="false">IF(AND($K340="Joined",$U340&lt;&gt;"",$J340&lt;&gt;""),$U340-$J340,"")</f>
        <v/>
      </c>
      <c r="AE340" s="25" t="str">
        <f aca="false">IF($K340="","",IF(OR($K340="Rejected",$K340="Withdrawn"),IFERROR(INDEX(Lists!$B$4:$B$14,MATCH($N340,Lists!$A$4:$A$14,0)),1),IFERROR(INDEX(Lists!$B$4:$B$14,MATCH($K340,Lists!$A$4:$A$14,0)),0)))</f>
        <v/>
      </c>
    </row>
    <row r="341" customFormat="false" ht="15" hidden="false" customHeight="false" outlineLevel="0" collapsed="false">
      <c r="A341" s="25" t="str">
        <f aca="false">IF($B341="","","C-"&amp;TEXT(ROW()-1,"0000"))</f>
        <v/>
      </c>
      <c r="B341" s="21"/>
      <c r="C341" s="21"/>
      <c r="D341" s="21"/>
      <c r="E341" s="21"/>
      <c r="F341" s="25" t="str">
        <f aca="false">IF($E341="","",IFERROR(INDEX(Requisitions!$B$2:$B$101,MATCH($E341,Requisitions!$A$2:$A$101,0)),"Unknown Req"))</f>
        <v/>
      </c>
      <c r="G341" s="25" t="str">
        <f aca="false">IF($E341="","",IFERROR(INDEX(Requisitions!$D$2:$D$101,MATCH($E341,Requisitions!$A$2:$A$101,0)),""))</f>
        <v/>
      </c>
      <c r="H341" s="21"/>
      <c r="I341" s="21"/>
      <c r="J341" s="22"/>
      <c r="K341" s="21"/>
      <c r="L341" s="22"/>
      <c r="M341" s="25" t="str">
        <f aca="false">IF($K341="","",IFERROR(INDEX(Lists!$D$4:$D$14,MATCH($K341,Lists!$A$4:$A$14,0)),"Check stage"))</f>
        <v/>
      </c>
      <c r="N341" s="21"/>
      <c r="O341" s="21"/>
      <c r="P341" s="26"/>
      <c r="Q341" s="26"/>
      <c r="R341" s="21"/>
      <c r="S341" s="21"/>
      <c r="T341" s="22"/>
      <c r="U341" s="22"/>
      <c r="V341" s="24" t="str">
        <f aca="false">IF(OR(N($P341)=0,$Q341=""),"",$Q341/$P341-1)</f>
        <v/>
      </c>
      <c r="W341" s="25" t="str">
        <f aca="true">IF($J341="","",IF($M341="Active",TODAY(),IF($U341&lt;&gt;"",$U341,IF($L341&lt;&gt;"",$L341,TODAY())))-$J341)</f>
        <v/>
      </c>
      <c r="X341" s="25" t="str">
        <f aca="true">IF(OR($L341="",$M341&lt;&gt;"Active"),"",TODAY()-$L341)</f>
        <v/>
      </c>
      <c r="Y341" s="25" t="str">
        <f aca="false">IF($M341&lt;&gt;"Active","",INDEX(Lists!$C$4:$C$14,MATCH($K341,Lists!$A$4:$A$14,0)))</f>
        <v/>
      </c>
      <c r="Z341" s="25" t="str">
        <f aca="false">IF($B341="","",IF($M341&lt;&gt;"Active","Closed",IF($X341="","",IF($X341&gt;$Y341,"BREACH","On Track"))))</f>
        <v/>
      </c>
      <c r="AA341" s="25" t="str">
        <f aca="false">IF($K341="","",IFERROR(INDEX(Lists!$E$4:$E$14,MATCH($K341,Lists!$A$4:$A$14,0)),""))</f>
        <v/>
      </c>
      <c r="AB341" s="27" t="str">
        <f aca="false">IF($U341&lt;&gt;"",$U341,IF(OR($T341="",$M341&lt;&gt;"Active"),"",$T341+N($R341)))</f>
        <v/>
      </c>
      <c r="AC341" s="25" t="str">
        <f aca="false">IF(OR($T341="",$J341=""),"",$T341-$J341)</f>
        <v/>
      </c>
      <c r="AD341" s="25" t="str">
        <f aca="false">IF(AND($K341="Joined",$U341&lt;&gt;"",$J341&lt;&gt;""),$U341-$J341,"")</f>
        <v/>
      </c>
      <c r="AE341" s="25" t="str">
        <f aca="false">IF($K341="","",IF(OR($K341="Rejected",$K341="Withdrawn"),IFERROR(INDEX(Lists!$B$4:$B$14,MATCH($N341,Lists!$A$4:$A$14,0)),1),IFERROR(INDEX(Lists!$B$4:$B$14,MATCH($K341,Lists!$A$4:$A$14,0)),0)))</f>
        <v/>
      </c>
    </row>
    <row r="342" customFormat="false" ht="15" hidden="false" customHeight="false" outlineLevel="0" collapsed="false">
      <c r="A342" s="25" t="str">
        <f aca="false">IF($B342="","","C-"&amp;TEXT(ROW()-1,"0000"))</f>
        <v/>
      </c>
      <c r="B342" s="21"/>
      <c r="C342" s="21"/>
      <c r="D342" s="21"/>
      <c r="E342" s="21"/>
      <c r="F342" s="25" t="str">
        <f aca="false">IF($E342="","",IFERROR(INDEX(Requisitions!$B$2:$B$101,MATCH($E342,Requisitions!$A$2:$A$101,0)),"Unknown Req"))</f>
        <v/>
      </c>
      <c r="G342" s="25" t="str">
        <f aca="false">IF($E342="","",IFERROR(INDEX(Requisitions!$D$2:$D$101,MATCH($E342,Requisitions!$A$2:$A$101,0)),""))</f>
        <v/>
      </c>
      <c r="H342" s="21"/>
      <c r="I342" s="21"/>
      <c r="J342" s="22"/>
      <c r="K342" s="21"/>
      <c r="L342" s="22"/>
      <c r="M342" s="25" t="str">
        <f aca="false">IF($K342="","",IFERROR(INDEX(Lists!$D$4:$D$14,MATCH($K342,Lists!$A$4:$A$14,0)),"Check stage"))</f>
        <v/>
      </c>
      <c r="N342" s="21"/>
      <c r="O342" s="21"/>
      <c r="P342" s="26"/>
      <c r="Q342" s="26"/>
      <c r="R342" s="21"/>
      <c r="S342" s="21"/>
      <c r="T342" s="22"/>
      <c r="U342" s="22"/>
      <c r="V342" s="24" t="str">
        <f aca="false">IF(OR(N($P342)=0,$Q342=""),"",$Q342/$P342-1)</f>
        <v/>
      </c>
      <c r="W342" s="25" t="str">
        <f aca="true">IF($J342="","",IF($M342="Active",TODAY(),IF($U342&lt;&gt;"",$U342,IF($L342&lt;&gt;"",$L342,TODAY())))-$J342)</f>
        <v/>
      </c>
      <c r="X342" s="25" t="str">
        <f aca="true">IF(OR($L342="",$M342&lt;&gt;"Active"),"",TODAY()-$L342)</f>
        <v/>
      </c>
      <c r="Y342" s="25" t="str">
        <f aca="false">IF($M342&lt;&gt;"Active","",INDEX(Lists!$C$4:$C$14,MATCH($K342,Lists!$A$4:$A$14,0)))</f>
        <v/>
      </c>
      <c r="Z342" s="25" t="str">
        <f aca="false">IF($B342="","",IF($M342&lt;&gt;"Active","Closed",IF($X342="","",IF($X342&gt;$Y342,"BREACH","On Track"))))</f>
        <v/>
      </c>
      <c r="AA342" s="25" t="str">
        <f aca="false">IF($K342="","",IFERROR(INDEX(Lists!$E$4:$E$14,MATCH($K342,Lists!$A$4:$A$14,0)),""))</f>
        <v/>
      </c>
      <c r="AB342" s="27" t="str">
        <f aca="false">IF($U342&lt;&gt;"",$U342,IF(OR($T342="",$M342&lt;&gt;"Active"),"",$T342+N($R342)))</f>
        <v/>
      </c>
      <c r="AC342" s="25" t="str">
        <f aca="false">IF(OR($T342="",$J342=""),"",$T342-$J342)</f>
        <v/>
      </c>
      <c r="AD342" s="25" t="str">
        <f aca="false">IF(AND($K342="Joined",$U342&lt;&gt;"",$J342&lt;&gt;""),$U342-$J342,"")</f>
        <v/>
      </c>
      <c r="AE342" s="25" t="str">
        <f aca="false">IF($K342="","",IF(OR($K342="Rejected",$K342="Withdrawn"),IFERROR(INDEX(Lists!$B$4:$B$14,MATCH($N342,Lists!$A$4:$A$14,0)),1),IFERROR(INDEX(Lists!$B$4:$B$14,MATCH($K342,Lists!$A$4:$A$14,0)),0)))</f>
        <v/>
      </c>
    </row>
    <row r="343" customFormat="false" ht="15" hidden="false" customHeight="false" outlineLevel="0" collapsed="false">
      <c r="A343" s="25" t="str">
        <f aca="false">IF($B343="","","C-"&amp;TEXT(ROW()-1,"0000"))</f>
        <v/>
      </c>
      <c r="B343" s="21"/>
      <c r="C343" s="21"/>
      <c r="D343" s="21"/>
      <c r="E343" s="21"/>
      <c r="F343" s="25" t="str">
        <f aca="false">IF($E343="","",IFERROR(INDEX(Requisitions!$B$2:$B$101,MATCH($E343,Requisitions!$A$2:$A$101,0)),"Unknown Req"))</f>
        <v/>
      </c>
      <c r="G343" s="25" t="str">
        <f aca="false">IF($E343="","",IFERROR(INDEX(Requisitions!$D$2:$D$101,MATCH($E343,Requisitions!$A$2:$A$101,0)),""))</f>
        <v/>
      </c>
      <c r="H343" s="21"/>
      <c r="I343" s="21"/>
      <c r="J343" s="22"/>
      <c r="K343" s="21"/>
      <c r="L343" s="22"/>
      <c r="M343" s="25" t="str">
        <f aca="false">IF($K343="","",IFERROR(INDEX(Lists!$D$4:$D$14,MATCH($K343,Lists!$A$4:$A$14,0)),"Check stage"))</f>
        <v/>
      </c>
      <c r="N343" s="21"/>
      <c r="O343" s="21"/>
      <c r="P343" s="26"/>
      <c r="Q343" s="26"/>
      <c r="R343" s="21"/>
      <c r="S343" s="21"/>
      <c r="T343" s="22"/>
      <c r="U343" s="22"/>
      <c r="V343" s="24" t="str">
        <f aca="false">IF(OR(N($P343)=0,$Q343=""),"",$Q343/$P343-1)</f>
        <v/>
      </c>
      <c r="W343" s="25" t="str">
        <f aca="true">IF($J343="","",IF($M343="Active",TODAY(),IF($U343&lt;&gt;"",$U343,IF($L343&lt;&gt;"",$L343,TODAY())))-$J343)</f>
        <v/>
      </c>
      <c r="X343" s="25" t="str">
        <f aca="true">IF(OR($L343="",$M343&lt;&gt;"Active"),"",TODAY()-$L343)</f>
        <v/>
      </c>
      <c r="Y343" s="25" t="str">
        <f aca="false">IF($M343&lt;&gt;"Active","",INDEX(Lists!$C$4:$C$14,MATCH($K343,Lists!$A$4:$A$14,0)))</f>
        <v/>
      </c>
      <c r="Z343" s="25" t="str">
        <f aca="false">IF($B343="","",IF($M343&lt;&gt;"Active","Closed",IF($X343="","",IF($X343&gt;$Y343,"BREACH","On Track"))))</f>
        <v/>
      </c>
      <c r="AA343" s="25" t="str">
        <f aca="false">IF($K343="","",IFERROR(INDEX(Lists!$E$4:$E$14,MATCH($K343,Lists!$A$4:$A$14,0)),""))</f>
        <v/>
      </c>
      <c r="AB343" s="27" t="str">
        <f aca="false">IF($U343&lt;&gt;"",$U343,IF(OR($T343="",$M343&lt;&gt;"Active"),"",$T343+N($R343)))</f>
        <v/>
      </c>
      <c r="AC343" s="25" t="str">
        <f aca="false">IF(OR($T343="",$J343=""),"",$T343-$J343)</f>
        <v/>
      </c>
      <c r="AD343" s="25" t="str">
        <f aca="false">IF(AND($K343="Joined",$U343&lt;&gt;"",$J343&lt;&gt;""),$U343-$J343,"")</f>
        <v/>
      </c>
      <c r="AE343" s="25" t="str">
        <f aca="false">IF($K343="","",IF(OR($K343="Rejected",$K343="Withdrawn"),IFERROR(INDEX(Lists!$B$4:$B$14,MATCH($N343,Lists!$A$4:$A$14,0)),1),IFERROR(INDEX(Lists!$B$4:$B$14,MATCH($K343,Lists!$A$4:$A$14,0)),0)))</f>
        <v/>
      </c>
    </row>
    <row r="344" customFormat="false" ht="15" hidden="false" customHeight="false" outlineLevel="0" collapsed="false">
      <c r="A344" s="25" t="str">
        <f aca="false">IF($B344="","","C-"&amp;TEXT(ROW()-1,"0000"))</f>
        <v/>
      </c>
      <c r="B344" s="21"/>
      <c r="C344" s="21"/>
      <c r="D344" s="21"/>
      <c r="E344" s="21"/>
      <c r="F344" s="25" t="str">
        <f aca="false">IF($E344="","",IFERROR(INDEX(Requisitions!$B$2:$B$101,MATCH($E344,Requisitions!$A$2:$A$101,0)),"Unknown Req"))</f>
        <v/>
      </c>
      <c r="G344" s="25" t="str">
        <f aca="false">IF($E344="","",IFERROR(INDEX(Requisitions!$D$2:$D$101,MATCH($E344,Requisitions!$A$2:$A$101,0)),""))</f>
        <v/>
      </c>
      <c r="H344" s="21"/>
      <c r="I344" s="21"/>
      <c r="J344" s="22"/>
      <c r="K344" s="21"/>
      <c r="L344" s="22"/>
      <c r="M344" s="25" t="str">
        <f aca="false">IF($K344="","",IFERROR(INDEX(Lists!$D$4:$D$14,MATCH($K344,Lists!$A$4:$A$14,0)),"Check stage"))</f>
        <v/>
      </c>
      <c r="N344" s="21"/>
      <c r="O344" s="21"/>
      <c r="P344" s="26"/>
      <c r="Q344" s="26"/>
      <c r="R344" s="21"/>
      <c r="S344" s="21"/>
      <c r="T344" s="22"/>
      <c r="U344" s="22"/>
      <c r="V344" s="24" t="str">
        <f aca="false">IF(OR(N($P344)=0,$Q344=""),"",$Q344/$P344-1)</f>
        <v/>
      </c>
      <c r="W344" s="25" t="str">
        <f aca="true">IF($J344="","",IF($M344="Active",TODAY(),IF($U344&lt;&gt;"",$U344,IF($L344&lt;&gt;"",$L344,TODAY())))-$J344)</f>
        <v/>
      </c>
      <c r="X344" s="25" t="str">
        <f aca="true">IF(OR($L344="",$M344&lt;&gt;"Active"),"",TODAY()-$L344)</f>
        <v/>
      </c>
      <c r="Y344" s="25" t="str">
        <f aca="false">IF($M344&lt;&gt;"Active","",INDEX(Lists!$C$4:$C$14,MATCH($K344,Lists!$A$4:$A$14,0)))</f>
        <v/>
      </c>
      <c r="Z344" s="25" t="str">
        <f aca="false">IF($B344="","",IF($M344&lt;&gt;"Active","Closed",IF($X344="","",IF($X344&gt;$Y344,"BREACH","On Track"))))</f>
        <v/>
      </c>
      <c r="AA344" s="25" t="str">
        <f aca="false">IF($K344="","",IFERROR(INDEX(Lists!$E$4:$E$14,MATCH($K344,Lists!$A$4:$A$14,0)),""))</f>
        <v/>
      </c>
      <c r="AB344" s="27" t="str">
        <f aca="false">IF($U344&lt;&gt;"",$U344,IF(OR($T344="",$M344&lt;&gt;"Active"),"",$T344+N($R344)))</f>
        <v/>
      </c>
      <c r="AC344" s="25" t="str">
        <f aca="false">IF(OR($T344="",$J344=""),"",$T344-$J344)</f>
        <v/>
      </c>
      <c r="AD344" s="25" t="str">
        <f aca="false">IF(AND($K344="Joined",$U344&lt;&gt;"",$J344&lt;&gt;""),$U344-$J344,"")</f>
        <v/>
      </c>
      <c r="AE344" s="25" t="str">
        <f aca="false">IF($K344="","",IF(OR($K344="Rejected",$K344="Withdrawn"),IFERROR(INDEX(Lists!$B$4:$B$14,MATCH($N344,Lists!$A$4:$A$14,0)),1),IFERROR(INDEX(Lists!$B$4:$B$14,MATCH($K344,Lists!$A$4:$A$14,0)),0)))</f>
        <v/>
      </c>
    </row>
    <row r="345" customFormat="false" ht="15" hidden="false" customHeight="false" outlineLevel="0" collapsed="false">
      <c r="A345" s="25" t="str">
        <f aca="false">IF($B345="","","C-"&amp;TEXT(ROW()-1,"0000"))</f>
        <v/>
      </c>
      <c r="B345" s="21"/>
      <c r="C345" s="21"/>
      <c r="D345" s="21"/>
      <c r="E345" s="21"/>
      <c r="F345" s="25" t="str">
        <f aca="false">IF($E345="","",IFERROR(INDEX(Requisitions!$B$2:$B$101,MATCH($E345,Requisitions!$A$2:$A$101,0)),"Unknown Req"))</f>
        <v/>
      </c>
      <c r="G345" s="25" t="str">
        <f aca="false">IF($E345="","",IFERROR(INDEX(Requisitions!$D$2:$D$101,MATCH($E345,Requisitions!$A$2:$A$101,0)),""))</f>
        <v/>
      </c>
      <c r="H345" s="21"/>
      <c r="I345" s="21"/>
      <c r="J345" s="22"/>
      <c r="K345" s="21"/>
      <c r="L345" s="22"/>
      <c r="M345" s="25" t="str">
        <f aca="false">IF($K345="","",IFERROR(INDEX(Lists!$D$4:$D$14,MATCH($K345,Lists!$A$4:$A$14,0)),"Check stage"))</f>
        <v/>
      </c>
      <c r="N345" s="21"/>
      <c r="O345" s="21"/>
      <c r="P345" s="26"/>
      <c r="Q345" s="26"/>
      <c r="R345" s="21"/>
      <c r="S345" s="21"/>
      <c r="T345" s="22"/>
      <c r="U345" s="22"/>
      <c r="V345" s="24" t="str">
        <f aca="false">IF(OR(N($P345)=0,$Q345=""),"",$Q345/$P345-1)</f>
        <v/>
      </c>
      <c r="W345" s="25" t="str">
        <f aca="true">IF($J345="","",IF($M345="Active",TODAY(),IF($U345&lt;&gt;"",$U345,IF($L345&lt;&gt;"",$L345,TODAY())))-$J345)</f>
        <v/>
      </c>
      <c r="X345" s="25" t="str">
        <f aca="true">IF(OR($L345="",$M345&lt;&gt;"Active"),"",TODAY()-$L345)</f>
        <v/>
      </c>
      <c r="Y345" s="25" t="str">
        <f aca="false">IF($M345&lt;&gt;"Active","",INDEX(Lists!$C$4:$C$14,MATCH($K345,Lists!$A$4:$A$14,0)))</f>
        <v/>
      </c>
      <c r="Z345" s="25" t="str">
        <f aca="false">IF($B345="","",IF($M345&lt;&gt;"Active","Closed",IF($X345="","",IF($X345&gt;$Y345,"BREACH","On Track"))))</f>
        <v/>
      </c>
      <c r="AA345" s="25" t="str">
        <f aca="false">IF($K345="","",IFERROR(INDEX(Lists!$E$4:$E$14,MATCH($K345,Lists!$A$4:$A$14,0)),""))</f>
        <v/>
      </c>
      <c r="AB345" s="27" t="str">
        <f aca="false">IF($U345&lt;&gt;"",$U345,IF(OR($T345="",$M345&lt;&gt;"Active"),"",$T345+N($R345)))</f>
        <v/>
      </c>
      <c r="AC345" s="25" t="str">
        <f aca="false">IF(OR($T345="",$J345=""),"",$T345-$J345)</f>
        <v/>
      </c>
      <c r="AD345" s="25" t="str">
        <f aca="false">IF(AND($K345="Joined",$U345&lt;&gt;"",$J345&lt;&gt;""),$U345-$J345,"")</f>
        <v/>
      </c>
      <c r="AE345" s="25" t="str">
        <f aca="false">IF($K345="","",IF(OR($K345="Rejected",$K345="Withdrawn"),IFERROR(INDEX(Lists!$B$4:$B$14,MATCH($N345,Lists!$A$4:$A$14,0)),1),IFERROR(INDEX(Lists!$B$4:$B$14,MATCH($K345,Lists!$A$4:$A$14,0)),0)))</f>
        <v/>
      </c>
    </row>
    <row r="346" customFormat="false" ht="15" hidden="false" customHeight="false" outlineLevel="0" collapsed="false">
      <c r="A346" s="25" t="str">
        <f aca="false">IF($B346="","","C-"&amp;TEXT(ROW()-1,"0000"))</f>
        <v/>
      </c>
      <c r="B346" s="21"/>
      <c r="C346" s="21"/>
      <c r="D346" s="21"/>
      <c r="E346" s="21"/>
      <c r="F346" s="25" t="str">
        <f aca="false">IF($E346="","",IFERROR(INDEX(Requisitions!$B$2:$B$101,MATCH($E346,Requisitions!$A$2:$A$101,0)),"Unknown Req"))</f>
        <v/>
      </c>
      <c r="G346" s="25" t="str">
        <f aca="false">IF($E346="","",IFERROR(INDEX(Requisitions!$D$2:$D$101,MATCH($E346,Requisitions!$A$2:$A$101,0)),""))</f>
        <v/>
      </c>
      <c r="H346" s="21"/>
      <c r="I346" s="21"/>
      <c r="J346" s="22"/>
      <c r="K346" s="21"/>
      <c r="L346" s="22"/>
      <c r="M346" s="25" t="str">
        <f aca="false">IF($K346="","",IFERROR(INDEX(Lists!$D$4:$D$14,MATCH($K346,Lists!$A$4:$A$14,0)),"Check stage"))</f>
        <v/>
      </c>
      <c r="N346" s="21"/>
      <c r="O346" s="21"/>
      <c r="P346" s="26"/>
      <c r="Q346" s="26"/>
      <c r="R346" s="21"/>
      <c r="S346" s="21"/>
      <c r="T346" s="22"/>
      <c r="U346" s="22"/>
      <c r="V346" s="24" t="str">
        <f aca="false">IF(OR(N($P346)=0,$Q346=""),"",$Q346/$P346-1)</f>
        <v/>
      </c>
      <c r="W346" s="25" t="str">
        <f aca="true">IF($J346="","",IF($M346="Active",TODAY(),IF($U346&lt;&gt;"",$U346,IF($L346&lt;&gt;"",$L346,TODAY())))-$J346)</f>
        <v/>
      </c>
      <c r="X346" s="25" t="str">
        <f aca="true">IF(OR($L346="",$M346&lt;&gt;"Active"),"",TODAY()-$L346)</f>
        <v/>
      </c>
      <c r="Y346" s="25" t="str">
        <f aca="false">IF($M346&lt;&gt;"Active","",INDEX(Lists!$C$4:$C$14,MATCH($K346,Lists!$A$4:$A$14,0)))</f>
        <v/>
      </c>
      <c r="Z346" s="25" t="str">
        <f aca="false">IF($B346="","",IF($M346&lt;&gt;"Active","Closed",IF($X346="","",IF($X346&gt;$Y346,"BREACH","On Track"))))</f>
        <v/>
      </c>
      <c r="AA346" s="25" t="str">
        <f aca="false">IF($K346="","",IFERROR(INDEX(Lists!$E$4:$E$14,MATCH($K346,Lists!$A$4:$A$14,0)),""))</f>
        <v/>
      </c>
      <c r="AB346" s="27" t="str">
        <f aca="false">IF($U346&lt;&gt;"",$U346,IF(OR($T346="",$M346&lt;&gt;"Active"),"",$T346+N($R346)))</f>
        <v/>
      </c>
      <c r="AC346" s="25" t="str">
        <f aca="false">IF(OR($T346="",$J346=""),"",$T346-$J346)</f>
        <v/>
      </c>
      <c r="AD346" s="25" t="str">
        <f aca="false">IF(AND($K346="Joined",$U346&lt;&gt;"",$J346&lt;&gt;""),$U346-$J346,"")</f>
        <v/>
      </c>
      <c r="AE346" s="25" t="str">
        <f aca="false">IF($K346="","",IF(OR($K346="Rejected",$K346="Withdrawn"),IFERROR(INDEX(Lists!$B$4:$B$14,MATCH($N346,Lists!$A$4:$A$14,0)),1),IFERROR(INDEX(Lists!$B$4:$B$14,MATCH($K346,Lists!$A$4:$A$14,0)),0)))</f>
        <v/>
      </c>
    </row>
    <row r="347" customFormat="false" ht="15" hidden="false" customHeight="false" outlineLevel="0" collapsed="false">
      <c r="A347" s="25" t="str">
        <f aca="false">IF($B347="","","C-"&amp;TEXT(ROW()-1,"0000"))</f>
        <v/>
      </c>
      <c r="B347" s="21"/>
      <c r="C347" s="21"/>
      <c r="D347" s="21"/>
      <c r="E347" s="21"/>
      <c r="F347" s="25" t="str">
        <f aca="false">IF($E347="","",IFERROR(INDEX(Requisitions!$B$2:$B$101,MATCH($E347,Requisitions!$A$2:$A$101,0)),"Unknown Req"))</f>
        <v/>
      </c>
      <c r="G347" s="25" t="str">
        <f aca="false">IF($E347="","",IFERROR(INDEX(Requisitions!$D$2:$D$101,MATCH($E347,Requisitions!$A$2:$A$101,0)),""))</f>
        <v/>
      </c>
      <c r="H347" s="21"/>
      <c r="I347" s="21"/>
      <c r="J347" s="22"/>
      <c r="K347" s="21"/>
      <c r="L347" s="22"/>
      <c r="M347" s="25" t="str">
        <f aca="false">IF($K347="","",IFERROR(INDEX(Lists!$D$4:$D$14,MATCH($K347,Lists!$A$4:$A$14,0)),"Check stage"))</f>
        <v/>
      </c>
      <c r="N347" s="21"/>
      <c r="O347" s="21"/>
      <c r="P347" s="26"/>
      <c r="Q347" s="26"/>
      <c r="R347" s="21"/>
      <c r="S347" s="21"/>
      <c r="T347" s="22"/>
      <c r="U347" s="22"/>
      <c r="V347" s="24" t="str">
        <f aca="false">IF(OR(N($P347)=0,$Q347=""),"",$Q347/$P347-1)</f>
        <v/>
      </c>
      <c r="W347" s="25" t="str">
        <f aca="true">IF($J347="","",IF($M347="Active",TODAY(),IF($U347&lt;&gt;"",$U347,IF($L347&lt;&gt;"",$L347,TODAY())))-$J347)</f>
        <v/>
      </c>
      <c r="X347" s="25" t="str">
        <f aca="true">IF(OR($L347="",$M347&lt;&gt;"Active"),"",TODAY()-$L347)</f>
        <v/>
      </c>
      <c r="Y347" s="25" t="str">
        <f aca="false">IF($M347&lt;&gt;"Active","",INDEX(Lists!$C$4:$C$14,MATCH($K347,Lists!$A$4:$A$14,0)))</f>
        <v/>
      </c>
      <c r="Z347" s="25" t="str">
        <f aca="false">IF($B347="","",IF($M347&lt;&gt;"Active","Closed",IF($X347="","",IF($X347&gt;$Y347,"BREACH","On Track"))))</f>
        <v/>
      </c>
      <c r="AA347" s="25" t="str">
        <f aca="false">IF($K347="","",IFERROR(INDEX(Lists!$E$4:$E$14,MATCH($K347,Lists!$A$4:$A$14,0)),""))</f>
        <v/>
      </c>
      <c r="AB347" s="27" t="str">
        <f aca="false">IF($U347&lt;&gt;"",$U347,IF(OR($T347="",$M347&lt;&gt;"Active"),"",$T347+N($R347)))</f>
        <v/>
      </c>
      <c r="AC347" s="25" t="str">
        <f aca="false">IF(OR($T347="",$J347=""),"",$T347-$J347)</f>
        <v/>
      </c>
      <c r="AD347" s="25" t="str">
        <f aca="false">IF(AND($K347="Joined",$U347&lt;&gt;"",$J347&lt;&gt;""),$U347-$J347,"")</f>
        <v/>
      </c>
      <c r="AE347" s="25" t="str">
        <f aca="false">IF($K347="","",IF(OR($K347="Rejected",$K347="Withdrawn"),IFERROR(INDEX(Lists!$B$4:$B$14,MATCH($N347,Lists!$A$4:$A$14,0)),1),IFERROR(INDEX(Lists!$B$4:$B$14,MATCH($K347,Lists!$A$4:$A$14,0)),0)))</f>
        <v/>
      </c>
    </row>
    <row r="348" customFormat="false" ht="15" hidden="false" customHeight="false" outlineLevel="0" collapsed="false">
      <c r="A348" s="25" t="str">
        <f aca="false">IF($B348="","","C-"&amp;TEXT(ROW()-1,"0000"))</f>
        <v/>
      </c>
      <c r="B348" s="21"/>
      <c r="C348" s="21"/>
      <c r="D348" s="21"/>
      <c r="E348" s="21"/>
      <c r="F348" s="25" t="str">
        <f aca="false">IF($E348="","",IFERROR(INDEX(Requisitions!$B$2:$B$101,MATCH($E348,Requisitions!$A$2:$A$101,0)),"Unknown Req"))</f>
        <v/>
      </c>
      <c r="G348" s="25" t="str">
        <f aca="false">IF($E348="","",IFERROR(INDEX(Requisitions!$D$2:$D$101,MATCH($E348,Requisitions!$A$2:$A$101,0)),""))</f>
        <v/>
      </c>
      <c r="H348" s="21"/>
      <c r="I348" s="21"/>
      <c r="J348" s="22"/>
      <c r="K348" s="21"/>
      <c r="L348" s="22"/>
      <c r="M348" s="25" t="str">
        <f aca="false">IF($K348="","",IFERROR(INDEX(Lists!$D$4:$D$14,MATCH($K348,Lists!$A$4:$A$14,0)),"Check stage"))</f>
        <v/>
      </c>
      <c r="N348" s="21"/>
      <c r="O348" s="21"/>
      <c r="P348" s="26"/>
      <c r="Q348" s="26"/>
      <c r="R348" s="21"/>
      <c r="S348" s="21"/>
      <c r="T348" s="22"/>
      <c r="U348" s="22"/>
      <c r="V348" s="24" t="str">
        <f aca="false">IF(OR(N($P348)=0,$Q348=""),"",$Q348/$P348-1)</f>
        <v/>
      </c>
      <c r="W348" s="25" t="str">
        <f aca="true">IF($J348="","",IF($M348="Active",TODAY(),IF($U348&lt;&gt;"",$U348,IF($L348&lt;&gt;"",$L348,TODAY())))-$J348)</f>
        <v/>
      </c>
      <c r="X348" s="25" t="str">
        <f aca="true">IF(OR($L348="",$M348&lt;&gt;"Active"),"",TODAY()-$L348)</f>
        <v/>
      </c>
      <c r="Y348" s="25" t="str">
        <f aca="false">IF($M348&lt;&gt;"Active","",INDEX(Lists!$C$4:$C$14,MATCH($K348,Lists!$A$4:$A$14,0)))</f>
        <v/>
      </c>
      <c r="Z348" s="25" t="str">
        <f aca="false">IF($B348="","",IF($M348&lt;&gt;"Active","Closed",IF($X348="","",IF($X348&gt;$Y348,"BREACH","On Track"))))</f>
        <v/>
      </c>
      <c r="AA348" s="25" t="str">
        <f aca="false">IF($K348="","",IFERROR(INDEX(Lists!$E$4:$E$14,MATCH($K348,Lists!$A$4:$A$14,0)),""))</f>
        <v/>
      </c>
      <c r="AB348" s="27" t="str">
        <f aca="false">IF($U348&lt;&gt;"",$U348,IF(OR($T348="",$M348&lt;&gt;"Active"),"",$T348+N($R348)))</f>
        <v/>
      </c>
      <c r="AC348" s="25" t="str">
        <f aca="false">IF(OR($T348="",$J348=""),"",$T348-$J348)</f>
        <v/>
      </c>
      <c r="AD348" s="25" t="str">
        <f aca="false">IF(AND($K348="Joined",$U348&lt;&gt;"",$J348&lt;&gt;""),$U348-$J348,"")</f>
        <v/>
      </c>
      <c r="AE348" s="25" t="str">
        <f aca="false">IF($K348="","",IF(OR($K348="Rejected",$K348="Withdrawn"),IFERROR(INDEX(Lists!$B$4:$B$14,MATCH($N348,Lists!$A$4:$A$14,0)),1),IFERROR(INDEX(Lists!$B$4:$B$14,MATCH($K348,Lists!$A$4:$A$14,0)),0)))</f>
        <v/>
      </c>
    </row>
    <row r="349" customFormat="false" ht="15" hidden="false" customHeight="false" outlineLevel="0" collapsed="false">
      <c r="A349" s="25" t="str">
        <f aca="false">IF($B349="","","C-"&amp;TEXT(ROW()-1,"0000"))</f>
        <v/>
      </c>
      <c r="B349" s="21"/>
      <c r="C349" s="21"/>
      <c r="D349" s="21"/>
      <c r="E349" s="21"/>
      <c r="F349" s="25" t="str">
        <f aca="false">IF($E349="","",IFERROR(INDEX(Requisitions!$B$2:$B$101,MATCH($E349,Requisitions!$A$2:$A$101,0)),"Unknown Req"))</f>
        <v/>
      </c>
      <c r="G349" s="25" t="str">
        <f aca="false">IF($E349="","",IFERROR(INDEX(Requisitions!$D$2:$D$101,MATCH($E349,Requisitions!$A$2:$A$101,0)),""))</f>
        <v/>
      </c>
      <c r="H349" s="21"/>
      <c r="I349" s="21"/>
      <c r="J349" s="22"/>
      <c r="K349" s="21"/>
      <c r="L349" s="22"/>
      <c r="M349" s="25" t="str">
        <f aca="false">IF($K349="","",IFERROR(INDEX(Lists!$D$4:$D$14,MATCH($K349,Lists!$A$4:$A$14,0)),"Check stage"))</f>
        <v/>
      </c>
      <c r="N349" s="21"/>
      <c r="O349" s="21"/>
      <c r="P349" s="26"/>
      <c r="Q349" s="26"/>
      <c r="R349" s="21"/>
      <c r="S349" s="21"/>
      <c r="T349" s="22"/>
      <c r="U349" s="22"/>
      <c r="V349" s="24" t="str">
        <f aca="false">IF(OR(N($P349)=0,$Q349=""),"",$Q349/$P349-1)</f>
        <v/>
      </c>
      <c r="W349" s="25" t="str">
        <f aca="true">IF($J349="","",IF($M349="Active",TODAY(),IF($U349&lt;&gt;"",$U349,IF($L349&lt;&gt;"",$L349,TODAY())))-$J349)</f>
        <v/>
      </c>
      <c r="X349" s="25" t="str">
        <f aca="true">IF(OR($L349="",$M349&lt;&gt;"Active"),"",TODAY()-$L349)</f>
        <v/>
      </c>
      <c r="Y349" s="25" t="str">
        <f aca="false">IF($M349&lt;&gt;"Active","",INDEX(Lists!$C$4:$C$14,MATCH($K349,Lists!$A$4:$A$14,0)))</f>
        <v/>
      </c>
      <c r="Z349" s="25" t="str">
        <f aca="false">IF($B349="","",IF($M349&lt;&gt;"Active","Closed",IF($X349="","",IF($X349&gt;$Y349,"BREACH","On Track"))))</f>
        <v/>
      </c>
      <c r="AA349" s="25" t="str">
        <f aca="false">IF($K349="","",IFERROR(INDEX(Lists!$E$4:$E$14,MATCH($K349,Lists!$A$4:$A$14,0)),""))</f>
        <v/>
      </c>
      <c r="AB349" s="27" t="str">
        <f aca="false">IF($U349&lt;&gt;"",$U349,IF(OR($T349="",$M349&lt;&gt;"Active"),"",$T349+N($R349)))</f>
        <v/>
      </c>
      <c r="AC349" s="25" t="str">
        <f aca="false">IF(OR($T349="",$J349=""),"",$T349-$J349)</f>
        <v/>
      </c>
      <c r="AD349" s="25" t="str">
        <f aca="false">IF(AND($K349="Joined",$U349&lt;&gt;"",$J349&lt;&gt;""),$U349-$J349,"")</f>
        <v/>
      </c>
      <c r="AE349" s="25" t="str">
        <f aca="false">IF($K349="","",IF(OR($K349="Rejected",$K349="Withdrawn"),IFERROR(INDEX(Lists!$B$4:$B$14,MATCH($N349,Lists!$A$4:$A$14,0)),1),IFERROR(INDEX(Lists!$B$4:$B$14,MATCH($K349,Lists!$A$4:$A$14,0)),0)))</f>
        <v/>
      </c>
    </row>
    <row r="350" customFormat="false" ht="15" hidden="false" customHeight="false" outlineLevel="0" collapsed="false">
      <c r="A350" s="25" t="str">
        <f aca="false">IF($B350="","","C-"&amp;TEXT(ROW()-1,"0000"))</f>
        <v/>
      </c>
      <c r="B350" s="21"/>
      <c r="C350" s="21"/>
      <c r="D350" s="21"/>
      <c r="E350" s="21"/>
      <c r="F350" s="25" t="str">
        <f aca="false">IF($E350="","",IFERROR(INDEX(Requisitions!$B$2:$B$101,MATCH($E350,Requisitions!$A$2:$A$101,0)),"Unknown Req"))</f>
        <v/>
      </c>
      <c r="G350" s="25" t="str">
        <f aca="false">IF($E350="","",IFERROR(INDEX(Requisitions!$D$2:$D$101,MATCH($E350,Requisitions!$A$2:$A$101,0)),""))</f>
        <v/>
      </c>
      <c r="H350" s="21"/>
      <c r="I350" s="21"/>
      <c r="J350" s="22"/>
      <c r="K350" s="21"/>
      <c r="L350" s="22"/>
      <c r="M350" s="25" t="str">
        <f aca="false">IF($K350="","",IFERROR(INDEX(Lists!$D$4:$D$14,MATCH($K350,Lists!$A$4:$A$14,0)),"Check stage"))</f>
        <v/>
      </c>
      <c r="N350" s="21"/>
      <c r="O350" s="21"/>
      <c r="P350" s="26"/>
      <c r="Q350" s="26"/>
      <c r="R350" s="21"/>
      <c r="S350" s="21"/>
      <c r="T350" s="22"/>
      <c r="U350" s="22"/>
      <c r="V350" s="24" t="str">
        <f aca="false">IF(OR(N($P350)=0,$Q350=""),"",$Q350/$P350-1)</f>
        <v/>
      </c>
      <c r="W350" s="25" t="str">
        <f aca="true">IF($J350="","",IF($M350="Active",TODAY(),IF($U350&lt;&gt;"",$U350,IF($L350&lt;&gt;"",$L350,TODAY())))-$J350)</f>
        <v/>
      </c>
      <c r="X350" s="25" t="str">
        <f aca="true">IF(OR($L350="",$M350&lt;&gt;"Active"),"",TODAY()-$L350)</f>
        <v/>
      </c>
      <c r="Y350" s="25" t="str">
        <f aca="false">IF($M350&lt;&gt;"Active","",INDEX(Lists!$C$4:$C$14,MATCH($K350,Lists!$A$4:$A$14,0)))</f>
        <v/>
      </c>
      <c r="Z350" s="25" t="str">
        <f aca="false">IF($B350="","",IF($M350&lt;&gt;"Active","Closed",IF($X350="","",IF($X350&gt;$Y350,"BREACH","On Track"))))</f>
        <v/>
      </c>
      <c r="AA350" s="25" t="str">
        <f aca="false">IF($K350="","",IFERROR(INDEX(Lists!$E$4:$E$14,MATCH($K350,Lists!$A$4:$A$14,0)),""))</f>
        <v/>
      </c>
      <c r="AB350" s="27" t="str">
        <f aca="false">IF($U350&lt;&gt;"",$U350,IF(OR($T350="",$M350&lt;&gt;"Active"),"",$T350+N($R350)))</f>
        <v/>
      </c>
      <c r="AC350" s="25" t="str">
        <f aca="false">IF(OR($T350="",$J350=""),"",$T350-$J350)</f>
        <v/>
      </c>
      <c r="AD350" s="25" t="str">
        <f aca="false">IF(AND($K350="Joined",$U350&lt;&gt;"",$J350&lt;&gt;""),$U350-$J350,"")</f>
        <v/>
      </c>
      <c r="AE350" s="25" t="str">
        <f aca="false">IF($K350="","",IF(OR($K350="Rejected",$K350="Withdrawn"),IFERROR(INDEX(Lists!$B$4:$B$14,MATCH($N350,Lists!$A$4:$A$14,0)),1),IFERROR(INDEX(Lists!$B$4:$B$14,MATCH($K350,Lists!$A$4:$A$14,0)),0)))</f>
        <v/>
      </c>
    </row>
    <row r="351" customFormat="false" ht="15" hidden="false" customHeight="false" outlineLevel="0" collapsed="false">
      <c r="A351" s="25" t="str">
        <f aca="false">IF($B351="","","C-"&amp;TEXT(ROW()-1,"0000"))</f>
        <v/>
      </c>
      <c r="B351" s="21"/>
      <c r="C351" s="21"/>
      <c r="D351" s="21"/>
      <c r="E351" s="21"/>
      <c r="F351" s="25" t="str">
        <f aca="false">IF($E351="","",IFERROR(INDEX(Requisitions!$B$2:$B$101,MATCH($E351,Requisitions!$A$2:$A$101,0)),"Unknown Req"))</f>
        <v/>
      </c>
      <c r="G351" s="25" t="str">
        <f aca="false">IF($E351="","",IFERROR(INDEX(Requisitions!$D$2:$D$101,MATCH($E351,Requisitions!$A$2:$A$101,0)),""))</f>
        <v/>
      </c>
      <c r="H351" s="21"/>
      <c r="I351" s="21"/>
      <c r="J351" s="22"/>
      <c r="K351" s="21"/>
      <c r="L351" s="22"/>
      <c r="M351" s="25" t="str">
        <f aca="false">IF($K351="","",IFERROR(INDEX(Lists!$D$4:$D$14,MATCH($K351,Lists!$A$4:$A$14,0)),"Check stage"))</f>
        <v/>
      </c>
      <c r="N351" s="21"/>
      <c r="O351" s="21"/>
      <c r="P351" s="26"/>
      <c r="Q351" s="26"/>
      <c r="R351" s="21"/>
      <c r="S351" s="21"/>
      <c r="T351" s="22"/>
      <c r="U351" s="22"/>
      <c r="V351" s="24" t="str">
        <f aca="false">IF(OR(N($P351)=0,$Q351=""),"",$Q351/$P351-1)</f>
        <v/>
      </c>
      <c r="W351" s="25" t="str">
        <f aca="true">IF($J351="","",IF($M351="Active",TODAY(),IF($U351&lt;&gt;"",$U351,IF($L351&lt;&gt;"",$L351,TODAY())))-$J351)</f>
        <v/>
      </c>
      <c r="X351" s="25" t="str">
        <f aca="true">IF(OR($L351="",$M351&lt;&gt;"Active"),"",TODAY()-$L351)</f>
        <v/>
      </c>
      <c r="Y351" s="25" t="str">
        <f aca="false">IF($M351&lt;&gt;"Active","",INDEX(Lists!$C$4:$C$14,MATCH($K351,Lists!$A$4:$A$14,0)))</f>
        <v/>
      </c>
      <c r="Z351" s="25" t="str">
        <f aca="false">IF($B351="","",IF($M351&lt;&gt;"Active","Closed",IF($X351="","",IF($X351&gt;$Y351,"BREACH","On Track"))))</f>
        <v/>
      </c>
      <c r="AA351" s="25" t="str">
        <f aca="false">IF($K351="","",IFERROR(INDEX(Lists!$E$4:$E$14,MATCH($K351,Lists!$A$4:$A$14,0)),""))</f>
        <v/>
      </c>
      <c r="AB351" s="27" t="str">
        <f aca="false">IF($U351&lt;&gt;"",$U351,IF(OR($T351="",$M351&lt;&gt;"Active"),"",$T351+N($R351)))</f>
        <v/>
      </c>
      <c r="AC351" s="25" t="str">
        <f aca="false">IF(OR($T351="",$J351=""),"",$T351-$J351)</f>
        <v/>
      </c>
      <c r="AD351" s="25" t="str">
        <f aca="false">IF(AND($K351="Joined",$U351&lt;&gt;"",$J351&lt;&gt;""),$U351-$J351,"")</f>
        <v/>
      </c>
      <c r="AE351" s="25" t="str">
        <f aca="false">IF($K351="","",IF(OR($K351="Rejected",$K351="Withdrawn"),IFERROR(INDEX(Lists!$B$4:$B$14,MATCH($N351,Lists!$A$4:$A$14,0)),1),IFERROR(INDEX(Lists!$B$4:$B$14,MATCH($K351,Lists!$A$4:$A$14,0)),0)))</f>
        <v/>
      </c>
    </row>
    <row r="352" customFormat="false" ht="15" hidden="false" customHeight="false" outlineLevel="0" collapsed="false">
      <c r="A352" s="25" t="str">
        <f aca="false">IF($B352="","","C-"&amp;TEXT(ROW()-1,"0000"))</f>
        <v/>
      </c>
      <c r="B352" s="21"/>
      <c r="C352" s="21"/>
      <c r="D352" s="21"/>
      <c r="E352" s="21"/>
      <c r="F352" s="25" t="str">
        <f aca="false">IF($E352="","",IFERROR(INDEX(Requisitions!$B$2:$B$101,MATCH($E352,Requisitions!$A$2:$A$101,0)),"Unknown Req"))</f>
        <v/>
      </c>
      <c r="G352" s="25" t="str">
        <f aca="false">IF($E352="","",IFERROR(INDEX(Requisitions!$D$2:$D$101,MATCH($E352,Requisitions!$A$2:$A$101,0)),""))</f>
        <v/>
      </c>
      <c r="H352" s="21"/>
      <c r="I352" s="21"/>
      <c r="J352" s="22"/>
      <c r="K352" s="21"/>
      <c r="L352" s="22"/>
      <c r="M352" s="25" t="str">
        <f aca="false">IF($K352="","",IFERROR(INDEX(Lists!$D$4:$D$14,MATCH($K352,Lists!$A$4:$A$14,0)),"Check stage"))</f>
        <v/>
      </c>
      <c r="N352" s="21"/>
      <c r="O352" s="21"/>
      <c r="P352" s="26"/>
      <c r="Q352" s="26"/>
      <c r="R352" s="21"/>
      <c r="S352" s="21"/>
      <c r="T352" s="22"/>
      <c r="U352" s="22"/>
      <c r="V352" s="24" t="str">
        <f aca="false">IF(OR(N($P352)=0,$Q352=""),"",$Q352/$P352-1)</f>
        <v/>
      </c>
      <c r="W352" s="25" t="str">
        <f aca="true">IF($J352="","",IF($M352="Active",TODAY(),IF($U352&lt;&gt;"",$U352,IF($L352&lt;&gt;"",$L352,TODAY())))-$J352)</f>
        <v/>
      </c>
      <c r="X352" s="25" t="str">
        <f aca="true">IF(OR($L352="",$M352&lt;&gt;"Active"),"",TODAY()-$L352)</f>
        <v/>
      </c>
      <c r="Y352" s="25" t="str">
        <f aca="false">IF($M352&lt;&gt;"Active","",INDEX(Lists!$C$4:$C$14,MATCH($K352,Lists!$A$4:$A$14,0)))</f>
        <v/>
      </c>
      <c r="Z352" s="25" t="str">
        <f aca="false">IF($B352="","",IF($M352&lt;&gt;"Active","Closed",IF($X352="","",IF($X352&gt;$Y352,"BREACH","On Track"))))</f>
        <v/>
      </c>
      <c r="AA352" s="25" t="str">
        <f aca="false">IF($K352="","",IFERROR(INDEX(Lists!$E$4:$E$14,MATCH($K352,Lists!$A$4:$A$14,0)),""))</f>
        <v/>
      </c>
      <c r="AB352" s="27" t="str">
        <f aca="false">IF($U352&lt;&gt;"",$U352,IF(OR($T352="",$M352&lt;&gt;"Active"),"",$T352+N($R352)))</f>
        <v/>
      </c>
      <c r="AC352" s="25" t="str">
        <f aca="false">IF(OR($T352="",$J352=""),"",$T352-$J352)</f>
        <v/>
      </c>
      <c r="AD352" s="25" t="str">
        <f aca="false">IF(AND($K352="Joined",$U352&lt;&gt;"",$J352&lt;&gt;""),$U352-$J352,"")</f>
        <v/>
      </c>
      <c r="AE352" s="25" t="str">
        <f aca="false">IF($K352="","",IF(OR($K352="Rejected",$K352="Withdrawn"),IFERROR(INDEX(Lists!$B$4:$B$14,MATCH($N352,Lists!$A$4:$A$14,0)),1),IFERROR(INDEX(Lists!$B$4:$B$14,MATCH($K352,Lists!$A$4:$A$14,0)),0)))</f>
        <v/>
      </c>
    </row>
    <row r="353" customFormat="false" ht="15" hidden="false" customHeight="false" outlineLevel="0" collapsed="false">
      <c r="A353" s="25" t="str">
        <f aca="false">IF($B353="","","C-"&amp;TEXT(ROW()-1,"0000"))</f>
        <v/>
      </c>
      <c r="B353" s="21"/>
      <c r="C353" s="21"/>
      <c r="D353" s="21"/>
      <c r="E353" s="21"/>
      <c r="F353" s="25" t="str">
        <f aca="false">IF($E353="","",IFERROR(INDEX(Requisitions!$B$2:$B$101,MATCH($E353,Requisitions!$A$2:$A$101,0)),"Unknown Req"))</f>
        <v/>
      </c>
      <c r="G353" s="25" t="str">
        <f aca="false">IF($E353="","",IFERROR(INDEX(Requisitions!$D$2:$D$101,MATCH($E353,Requisitions!$A$2:$A$101,0)),""))</f>
        <v/>
      </c>
      <c r="H353" s="21"/>
      <c r="I353" s="21"/>
      <c r="J353" s="22"/>
      <c r="K353" s="21"/>
      <c r="L353" s="22"/>
      <c r="M353" s="25" t="str">
        <f aca="false">IF($K353="","",IFERROR(INDEX(Lists!$D$4:$D$14,MATCH($K353,Lists!$A$4:$A$14,0)),"Check stage"))</f>
        <v/>
      </c>
      <c r="N353" s="21"/>
      <c r="O353" s="21"/>
      <c r="P353" s="26"/>
      <c r="Q353" s="26"/>
      <c r="R353" s="21"/>
      <c r="S353" s="21"/>
      <c r="T353" s="22"/>
      <c r="U353" s="22"/>
      <c r="V353" s="24" t="str">
        <f aca="false">IF(OR(N($P353)=0,$Q353=""),"",$Q353/$P353-1)</f>
        <v/>
      </c>
      <c r="W353" s="25" t="str">
        <f aca="true">IF($J353="","",IF($M353="Active",TODAY(),IF($U353&lt;&gt;"",$U353,IF($L353&lt;&gt;"",$L353,TODAY())))-$J353)</f>
        <v/>
      </c>
      <c r="X353" s="25" t="str">
        <f aca="true">IF(OR($L353="",$M353&lt;&gt;"Active"),"",TODAY()-$L353)</f>
        <v/>
      </c>
      <c r="Y353" s="25" t="str">
        <f aca="false">IF($M353&lt;&gt;"Active","",INDEX(Lists!$C$4:$C$14,MATCH($K353,Lists!$A$4:$A$14,0)))</f>
        <v/>
      </c>
      <c r="Z353" s="25" t="str">
        <f aca="false">IF($B353="","",IF($M353&lt;&gt;"Active","Closed",IF($X353="","",IF($X353&gt;$Y353,"BREACH","On Track"))))</f>
        <v/>
      </c>
      <c r="AA353" s="25" t="str">
        <f aca="false">IF($K353="","",IFERROR(INDEX(Lists!$E$4:$E$14,MATCH($K353,Lists!$A$4:$A$14,0)),""))</f>
        <v/>
      </c>
      <c r="AB353" s="27" t="str">
        <f aca="false">IF($U353&lt;&gt;"",$U353,IF(OR($T353="",$M353&lt;&gt;"Active"),"",$T353+N($R353)))</f>
        <v/>
      </c>
      <c r="AC353" s="25" t="str">
        <f aca="false">IF(OR($T353="",$J353=""),"",$T353-$J353)</f>
        <v/>
      </c>
      <c r="AD353" s="25" t="str">
        <f aca="false">IF(AND($K353="Joined",$U353&lt;&gt;"",$J353&lt;&gt;""),$U353-$J353,"")</f>
        <v/>
      </c>
      <c r="AE353" s="25" t="str">
        <f aca="false">IF($K353="","",IF(OR($K353="Rejected",$K353="Withdrawn"),IFERROR(INDEX(Lists!$B$4:$B$14,MATCH($N353,Lists!$A$4:$A$14,0)),1),IFERROR(INDEX(Lists!$B$4:$B$14,MATCH($K353,Lists!$A$4:$A$14,0)),0)))</f>
        <v/>
      </c>
    </row>
    <row r="354" customFormat="false" ht="15" hidden="false" customHeight="false" outlineLevel="0" collapsed="false">
      <c r="A354" s="25" t="str">
        <f aca="false">IF($B354="","","C-"&amp;TEXT(ROW()-1,"0000"))</f>
        <v/>
      </c>
      <c r="B354" s="21"/>
      <c r="C354" s="21"/>
      <c r="D354" s="21"/>
      <c r="E354" s="21"/>
      <c r="F354" s="25" t="str">
        <f aca="false">IF($E354="","",IFERROR(INDEX(Requisitions!$B$2:$B$101,MATCH($E354,Requisitions!$A$2:$A$101,0)),"Unknown Req"))</f>
        <v/>
      </c>
      <c r="G354" s="25" t="str">
        <f aca="false">IF($E354="","",IFERROR(INDEX(Requisitions!$D$2:$D$101,MATCH($E354,Requisitions!$A$2:$A$101,0)),""))</f>
        <v/>
      </c>
      <c r="H354" s="21"/>
      <c r="I354" s="21"/>
      <c r="J354" s="22"/>
      <c r="K354" s="21"/>
      <c r="L354" s="22"/>
      <c r="M354" s="25" t="str">
        <f aca="false">IF($K354="","",IFERROR(INDEX(Lists!$D$4:$D$14,MATCH($K354,Lists!$A$4:$A$14,0)),"Check stage"))</f>
        <v/>
      </c>
      <c r="N354" s="21"/>
      <c r="O354" s="21"/>
      <c r="P354" s="26"/>
      <c r="Q354" s="26"/>
      <c r="R354" s="21"/>
      <c r="S354" s="21"/>
      <c r="T354" s="22"/>
      <c r="U354" s="22"/>
      <c r="V354" s="24" t="str">
        <f aca="false">IF(OR(N($P354)=0,$Q354=""),"",$Q354/$P354-1)</f>
        <v/>
      </c>
      <c r="W354" s="25" t="str">
        <f aca="true">IF($J354="","",IF($M354="Active",TODAY(),IF($U354&lt;&gt;"",$U354,IF($L354&lt;&gt;"",$L354,TODAY())))-$J354)</f>
        <v/>
      </c>
      <c r="X354" s="25" t="str">
        <f aca="true">IF(OR($L354="",$M354&lt;&gt;"Active"),"",TODAY()-$L354)</f>
        <v/>
      </c>
      <c r="Y354" s="25" t="str">
        <f aca="false">IF($M354&lt;&gt;"Active","",INDEX(Lists!$C$4:$C$14,MATCH($K354,Lists!$A$4:$A$14,0)))</f>
        <v/>
      </c>
      <c r="Z354" s="25" t="str">
        <f aca="false">IF($B354="","",IF($M354&lt;&gt;"Active","Closed",IF($X354="","",IF($X354&gt;$Y354,"BREACH","On Track"))))</f>
        <v/>
      </c>
      <c r="AA354" s="25" t="str">
        <f aca="false">IF($K354="","",IFERROR(INDEX(Lists!$E$4:$E$14,MATCH($K354,Lists!$A$4:$A$14,0)),""))</f>
        <v/>
      </c>
      <c r="AB354" s="27" t="str">
        <f aca="false">IF($U354&lt;&gt;"",$U354,IF(OR($T354="",$M354&lt;&gt;"Active"),"",$T354+N($R354)))</f>
        <v/>
      </c>
      <c r="AC354" s="25" t="str">
        <f aca="false">IF(OR($T354="",$J354=""),"",$T354-$J354)</f>
        <v/>
      </c>
      <c r="AD354" s="25" t="str">
        <f aca="false">IF(AND($K354="Joined",$U354&lt;&gt;"",$J354&lt;&gt;""),$U354-$J354,"")</f>
        <v/>
      </c>
      <c r="AE354" s="25" t="str">
        <f aca="false">IF($K354="","",IF(OR($K354="Rejected",$K354="Withdrawn"),IFERROR(INDEX(Lists!$B$4:$B$14,MATCH($N354,Lists!$A$4:$A$14,0)),1),IFERROR(INDEX(Lists!$B$4:$B$14,MATCH($K354,Lists!$A$4:$A$14,0)),0)))</f>
        <v/>
      </c>
    </row>
    <row r="355" customFormat="false" ht="15" hidden="false" customHeight="false" outlineLevel="0" collapsed="false">
      <c r="A355" s="25" t="str">
        <f aca="false">IF($B355="","","C-"&amp;TEXT(ROW()-1,"0000"))</f>
        <v/>
      </c>
      <c r="B355" s="21"/>
      <c r="C355" s="21"/>
      <c r="D355" s="21"/>
      <c r="E355" s="21"/>
      <c r="F355" s="25" t="str">
        <f aca="false">IF($E355="","",IFERROR(INDEX(Requisitions!$B$2:$B$101,MATCH($E355,Requisitions!$A$2:$A$101,0)),"Unknown Req"))</f>
        <v/>
      </c>
      <c r="G355" s="25" t="str">
        <f aca="false">IF($E355="","",IFERROR(INDEX(Requisitions!$D$2:$D$101,MATCH($E355,Requisitions!$A$2:$A$101,0)),""))</f>
        <v/>
      </c>
      <c r="H355" s="21"/>
      <c r="I355" s="21"/>
      <c r="J355" s="22"/>
      <c r="K355" s="21"/>
      <c r="L355" s="22"/>
      <c r="M355" s="25" t="str">
        <f aca="false">IF($K355="","",IFERROR(INDEX(Lists!$D$4:$D$14,MATCH($K355,Lists!$A$4:$A$14,0)),"Check stage"))</f>
        <v/>
      </c>
      <c r="N355" s="21"/>
      <c r="O355" s="21"/>
      <c r="P355" s="26"/>
      <c r="Q355" s="26"/>
      <c r="R355" s="21"/>
      <c r="S355" s="21"/>
      <c r="T355" s="22"/>
      <c r="U355" s="22"/>
      <c r="V355" s="24" t="str">
        <f aca="false">IF(OR(N($P355)=0,$Q355=""),"",$Q355/$P355-1)</f>
        <v/>
      </c>
      <c r="W355" s="25" t="str">
        <f aca="true">IF($J355="","",IF($M355="Active",TODAY(),IF($U355&lt;&gt;"",$U355,IF($L355&lt;&gt;"",$L355,TODAY())))-$J355)</f>
        <v/>
      </c>
      <c r="X355" s="25" t="str">
        <f aca="true">IF(OR($L355="",$M355&lt;&gt;"Active"),"",TODAY()-$L355)</f>
        <v/>
      </c>
      <c r="Y355" s="25" t="str">
        <f aca="false">IF($M355&lt;&gt;"Active","",INDEX(Lists!$C$4:$C$14,MATCH($K355,Lists!$A$4:$A$14,0)))</f>
        <v/>
      </c>
      <c r="Z355" s="25" t="str">
        <f aca="false">IF($B355="","",IF($M355&lt;&gt;"Active","Closed",IF($X355="","",IF($X355&gt;$Y355,"BREACH","On Track"))))</f>
        <v/>
      </c>
      <c r="AA355" s="25" t="str">
        <f aca="false">IF($K355="","",IFERROR(INDEX(Lists!$E$4:$E$14,MATCH($K355,Lists!$A$4:$A$14,0)),""))</f>
        <v/>
      </c>
      <c r="AB355" s="27" t="str">
        <f aca="false">IF($U355&lt;&gt;"",$U355,IF(OR($T355="",$M355&lt;&gt;"Active"),"",$T355+N($R355)))</f>
        <v/>
      </c>
      <c r="AC355" s="25" t="str">
        <f aca="false">IF(OR($T355="",$J355=""),"",$T355-$J355)</f>
        <v/>
      </c>
      <c r="AD355" s="25" t="str">
        <f aca="false">IF(AND($K355="Joined",$U355&lt;&gt;"",$J355&lt;&gt;""),$U355-$J355,"")</f>
        <v/>
      </c>
      <c r="AE355" s="25" t="str">
        <f aca="false">IF($K355="","",IF(OR($K355="Rejected",$K355="Withdrawn"),IFERROR(INDEX(Lists!$B$4:$B$14,MATCH($N355,Lists!$A$4:$A$14,0)),1),IFERROR(INDEX(Lists!$B$4:$B$14,MATCH($K355,Lists!$A$4:$A$14,0)),0)))</f>
        <v/>
      </c>
    </row>
    <row r="356" customFormat="false" ht="15" hidden="false" customHeight="false" outlineLevel="0" collapsed="false">
      <c r="A356" s="25" t="str">
        <f aca="false">IF($B356="","","C-"&amp;TEXT(ROW()-1,"0000"))</f>
        <v/>
      </c>
      <c r="B356" s="21"/>
      <c r="C356" s="21"/>
      <c r="D356" s="21"/>
      <c r="E356" s="21"/>
      <c r="F356" s="25" t="str">
        <f aca="false">IF($E356="","",IFERROR(INDEX(Requisitions!$B$2:$B$101,MATCH($E356,Requisitions!$A$2:$A$101,0)),"Unknown Req"))</f>
        <v/>
      </c>
      <c r="G356" s="25" t="str">
        <f aca="false">IF($E356="","",IFERROR(INDEX(Requisitions!$D$2:$D$101,MATCH($E356,Requisitions!$A$2:$A$101,0)),""))</f>
        <v/>
      </c>
      <c r="H356" s="21"/>
      <c r="I356" s="21"/>
      <c r="J356" s="22"/>
      <c r="K356" s="21"/>
      <c r="L356" s="22"/>
      <c r="M356" s="25" t="str">
        <f aca="false">IF($K356="","",IFERROR(INDEX(Lists!$D$4:$D$14,MATCH($K356,Lists!$A$4:$A$14,0)),"Check stage"))</f>
        <v/>
      </c>
      <c r="N356" s="21"/>
      <c r="O356" s="21"/>
      <c r="P356" s="26"/>
      <c r="Q356" s="26"/>
      <c r="R356" s="21"/>
      <c r="S356" s="21"/>
      <c r="T356" s="22"/>
      <c r="U356" s="22"/>
      <c r="V356" s="24" t="str">
        <f aca="false">IF(OR(N($P356)=0,$Q356=""),"",$Q356/$P356-1)</f>
        <v/>
      </c>
      <c r="W356" s="25" t="str">
        <f aca="true">IF($J356="","",IF($M356="Active",TODAY(),IF($U356&lt;&gt;"",$U356,IF($L356&lt;&gt;"",$L356,TODAY())))-$J356)</f>
        <v/>
      </c>
      <c r="X356" s="25" t="str">
        <f aca="true">IF(OR($L356="",$M356&lt;&gt;"Active"),"",TODAY()-$L356)</f>
        <v/>
      </c>
      <c r="Y356" s="25" t="str">
        <f aca="false">IF($M356&lt;&gt;"Active","",INDEX(Lists!$C$4:$C$14,MATCH($K356,Lists!$A$4:$A$14,0)))</f>
        <v/>
      </c>
      <c r="Z356" s="25" t="str">
        <f aca="false">IF($B356="","",IF($M356&lt;&gt;"Active","Closed",IF($X356="","",IF($X356&gt;$Y356,"BREACH","On Track"))))</f>
        <v/>
      </c>
      <c r="AA356" s="25" t="str">
        <f aca="false">IF($K356="","",IFERROR(INDEX(Lists!$E$4:$E$14,MATCH($K356,Lists!$A$4:$A$14,0)),""))</f>
        <v/>
      </c>
      <c r="AB356" s="27" t="str">
        <f aca="false">IF($U356&lt;&gt;"",$U356,IF(OR($T356="",$M356&lt;&gt;"Active"),"",$T356+N($R356)))</f>
        <v/>
      </c>
      <c r="AC356" s="25" t="str">
        <f aca="false">IF(OR($T356="",$J356=""),"",$T356-$J356)</f>
        <v/>
      </c>
      <c r="AD356" s="25" t="str">
        <f aca="false">IF(AND($K356="Joined",$U356&lt;&gt;"",$J356&lt;&gt;""),$U356-$J356,"")</f>
        <v/>
      </c>
      <c r="AE356" s="25" t="str">
        <f aca="false">IF($K356="","",IF(OR($K356="Rejected",$K356="Withdrawn"),IFERROR(INDEX(Lists!$B$4:$B$14,MATCH($N356,Lists!$A$4:$A$14,0)),1),IFERROR(INDEX(Lists!$B$4:$B$14,MATCH($K356,Lists!$A$4:$A$14,0)),0)))</f>
        <v/>
      </c>
    </row>
    <row r="357" customFormat="false" ht="15" hidden="false" customHeight="false" outlineLevel="0" collapsed="false">
      <c r="A357" s="25" t="str">
        <f aca="false">IF($B357="","","C-"&amp;TEXT(ROW()-1,"0000"))</f>
        <v/>
      </c>
      <c r="B357" s="21"/>
      <c r="C357" s="21"/>
      <c r="D357" s="21"/>
      <c r="E357" s="21"/>
      <c r="F357" s="25" t="str">
        <f aca="false">IF($E357="","",IFERROR(INDEX(Requisitions!$B$2:$B$101,MATCH($E357,Requisitions!$A$2:$A$101,0)),"Unknown Req"))</f>
        <v/>
      </c>
      <c r="G357" s="25" t="str">
        <f aca="false">IF($E357="","",IFERROR(INDEX(Requisitions!$D$2:$D$101,MATCH($E357,Requisitions!$A$2:$A$101,0)),""))</f>
        <v/>
      </c>
      <c r="H357" s="21"/>
      <c r="I357" s="21"/>
      <c r="J357" s="22"/>
      <c r="K357" s="21"/>
      <c r="L357" s="22"/>
      <c r="M357" s="25" t="str">
        <f aca="false">IF($K357="","",IFERROR(INDEX(Lists!$D$4:$D$14,MATCH($K357,Lists!$A$4:$A$14,0)),"Check stage"))</f>
        <v/>
      </c>
      <c r="N357" s="21"/>
      <c r="O357" s="21"/>
      <c r="P357" s="26"/>
      <c r="Q357" s="26"/>
      <c r="R357" s="21"/>
      <c r="S357" s="21"/>
      <c r="T357" s="22"/>
      <c r="U357" s="22"/>
      <c r="V357" s="24" t="str">
        <f aca="false">IF(OR(N($P357)=0,$Q357=""),"",$Q357/$P357-1)</f>
        <v/>
      </c>
      <c r="W357" s="25" t="str">
        <f aca="true">IF($J357="","",IF($M357="Active",TODAY(),IF($U357&lt;&gt;"",$U357,IF($L357&lt;&gt;"",$L357,TODAY())))-$J357)</f>
        <v/>
      </c>
      <c r="X357" s="25" t="str">
        <f aca="true">IF(OR($L357="",$M357&lt;&gt;"Active"),"",TODAY()-$L357)</f>
        <v/>
      </c>
      <c r="Y357" s="25" t="str">
        <f aca="false">IF($M357&lt;&gt;"Active","",INDEX(Lists!$C$4:$C$14,MATCH($K357,Lists!$A$4:$A$14,0)))</f>
        <v/>
      </c>
      <c r="Z357" s="25" t="str">
        <f aca="false">IF($B357="","",IF($M357&lt;&gt;"Active","Closed",IF($X357="","",IF($X357&gt;$Y357,"BREACH","On Track"))))</f>
        <v/>
      </c>
      <c r="AA357" s="25" t="str">
        <f aca="false">IF($K357="","",IFERROR(INDEX(Lists!$E$4:$E$14,MATCH($K357,Lists!$A$4:$A$14,0)),""))</f>
        <v/>
      </c>
      <c r="AB357" s="27" t="str">
        <f aca="false">IF($U357&lt;&gt;"",$U357,IF(OR($T357="",$M357&lt;&gt;"Active"),"",$T357+N($R357)))</f>
        <v/>
      </c>
      <c r="AC357" s="25" t="str">
        <f aca="false">IF(OR($T357="",$J357=""),"",$T357-$J357)</f>
        <v/>
      </c>
      <c r="AD357" s="25" t="str">
        <f aca="false">IF(AND($K357="Joined",$U357&lt;&gt;"",$J357&lt;&gt;""),$U357-$J357,"")</f>
        <v/>
      </c>
      <c r="AE357" s="25" t="str">
        <f aca="false">IF($K357="","",IF(OR($K357="Rejected",$K357="Withdrawn"),IFERROR(INDEX(Lists!$B$4:$B$14,MATCH($N357,Lists!$A$4:$A$14,0)),1),IFERROR(INDEX(Lists!$B$4:$B$14,MATCH($K357,Lists!$A$4:$A$14,0)),0)))</f>
        <v/>
      </c>
    </row>
    <row r="358" customFormat="false" ht="15" hidden="false" customHeight="false" outlineLevel="0" collapsed="false">
      <c r="A358" s="25" t="str">
        <f aca="false">IF($B358="","","C-"&amp;TEXT(ROW()-1,"0000"))</f>
        <v/>
      </c>
      <c r="B358" s="21"/>
      <c r="C358" s="21"/>
      <c r="D358" s="21"/>
      <c r="E358" s="21"/>
      <c r="F358" s="25" t="str">
        <f aca="false">IF($E358="","",IFERROR(INDEX(Requisitions!$B$2:$B$101,MATCH($E358,Requisitions!$A$2:$A$101,0)),"Unknown Req"))</f>
        <v/>
      </c>
      <c r="G358" s="25" t="str">
        <f aca="false">IF($E358="","",IFERROR(INDEX(Requisitions!$D$2:$D$101,MATCH($E358,Requisitions!$A$2:$A$101,0)),""))</f>
        <v/>
      </c>
      <c r="H358" s="21"/>
      <c r="I358" s="21"/>
      <c r="J358" s="22"/>
      <c r="K358" s="21"/>
      <c r="L358" s="22"/>
      <c r="M358" s="25" t="str">
        <f aca="false">IF($K358="","",IFERROR(INDEX(Lists!$D$4:$D$14,MATCH($K358,Lists!$A$4:$A$14,0)),"Check stage"))</f>
        <v/>
      </c>
      <c r="N358" s="21"/>
      <c r="O358" s="21"/>
      <c r="P358" s="26"/>
      <c r="Q358" s="26"/>
      <c r="R358" s="21"/>
      <c r="S358" s="21"/>
      <c r="T358" s="22"/>
      <c r="U358" s="22"/>
      <c r="V358" s="24" t="str">
        <f aca="false">IF(OR(N($P358)=0,$Q358=""),"",$Q358/$P358-1)</f>
        <v/>
      </c>
      <c r="W358" s="25" t="str">
        <f aca="true">IF($J358="","",IF($M358="Active",TODAY(),IF($U358&lt;&gt;"",$U358,IF($L358&lt;&gt;"",$L358,TODAY())))-$J358)</f>
        <v/>
      </c>
      <c r="X358" s="25" t="str">
        <f aca="true">IF(OR($L358="",$M358&lt;&gt;"Active"),"",TODAY()-$L358)</f>
        <v/>
      </c>
      <c r="Y358" s="25" t="str">
        <f aca="false">IF($M358&lt;&gt;"Active","",INDEX(Lists!$C$4:$C$14,MATCH($K358,Lists!$A$4:$A$14,0)))</f>
        <v/>
      </c>
      <c r="Z358" s="25" t="str">
        <f aca="false">IF($B358="","",IF($M358&lt;&gt;"Active","Closed",IF($X358="","",IF($X358&gt;$Y358,"BREACH","On Track"))))</f>
        <v/>
      </c>
      <c r="AA358" s="25" t="str">
        <f aca="false">IF($K358="","",IFERROR(INDEX(Lists!$E$4:$E$14,MATCH($K358,Lists!$A$4:$A$14,0)),""))</f>
        <v/>
      </c>
      <c r="AB358" s="27" t="str">
        <f aca="false">IF($U358&lt;&gt;"",$U358,IF(OR($T358="",$M358&lt;&gt;"Active"),"",$T358+N($R358)))</f>
        <v/>
      </c>
      <c r="AC358" s="25" t="str">
        <f aca="false">IF(OR($T358="",$J358=""),"",$T358-$J358)</f>
        <v/>
      </c>
      <c r="AD358" s="25" t="str">
        <f aca="false">IF(AND($K358="Joined",$U358&lt;&gt;"",$J358&lt;&gt;""),$U358-$J358,"")</f>
        <v/>
      </c>
      <c r="AE358" s="25" t="str">
        <f aca="false">IF($K358="","",IF(OR($K358="Rejected",$K358="Withdrawn"),IFERROR(INDEX(Lists!$B$4:$B$14,MATCH($N358,Lists!$A$4:$A$14,0)),1),IFERROR(INDEX(Lists!$B$4:$B$14,MATCH($K358,Lists!$A$4:$A$14,0)),0)))</f>
        <v/>
      </c>
    </row>
    <row r="359" customFormat="false" ht="15" hidden="false" customHeight="false" outlineLevel="0" collapsed="false">
      <c r="A359" s="25" t="str">
        <f aca="false">IF($B359="","","C-"&amp;TEXT(ROW()-1,"0000"))</f>
        <v/>
      </c>
      <c r="B359" s="21"/>
      <c r="C359" s="21"/>
      <c r="D359" s="21"/>
      <c r="E359" s="21"/>
      <c r="F359" s="25" t="str">
        <f aca="false">IF($E359="","",IFERROR(INDEX(Requisitions!$B$2:$B$101,MATCH($E359,Requisitions!$A$2:$A$101,0)),"Unknown Req"))</f>
        <v/>
      </c>
      <c r="G359" s="25" t="str">
        <f aca="false">IF($E359="","",IFERROR(INDEX(Requisitions!$D$2:$D$101,MATCH($E359,Requisitions!$A$2:$A$101,0)),""))</f>
        <v/>
      </c>
      <c r="H359" s="21"/>
      <c r="I359" s="21"/>
      <c r="J359" s="22"/>
      <c r="K359" s="21"/>
      <c r="L359" s="22"/>
      <c r="M359" s="25" t="str">
        <f aca="false">IF($K359="","",IFERROR(INDEX(Lists!$D$4:$D$14,MATCH($K359,Lists!$A$4:$A$14,0)),"Check stage"))</f>
        <v/>
      </c>
      <c r="N359" s="21"/>
      <c r="O359" s="21"/>
      <c r="P359" s="26"/>
      <c r="Q359" s="26"/>
      <c r="R359" s="21"/>
      <c r="S359" s="21"/>
      <c r="T359" s="22"/>
      <c r="U359" s="22"/>
      <c r="V359" s="24" t="str">
        <f aca="false">IF(OR(N($P359)=0,$Q359=""),"",$Q359/$P359-1)</f>
        <v/>
      </c>
      <c r="W359" s="25" t="str">
        <f aca="true">IF($J359="","",IF($M359="Active",TODAY(),IF($U359&lt;&gt;"",$U359,IF($L359&lt;&gt;"",$L359,TODAY())))-$J359)</f>
        <v/>
      </c>
      <c r="X359" s="25" t="str">
        <f aca="true">IF(OR($L359="",$M359&lt;&gt;"Active"),"",TODAY()-$L359)</f>
        <v/>
      </c>
      <c r="Y359" s="25" t="str">
        <f aca="false">IF($M359&lt;&gt;"Active","",INDEX(Lists!$C$4:$C$14,MATCH($K359,Lists!$A$4:$A$14,0)))</f>
        <v/>
      </c>
      <c r="Z359" s="25" t="str">
        <f aca="false">IF($B359="","",IF($M359&lt;&gt;"Active","Closed",IF($X359="","",IF($X359&gt;$Y359,"BREACH","On Track"))))</f>
        <v/>
      </c>
      <c r="AA359" s="25" t="str">
        <f aca="false">IF($K359="","",IFERROR(INDEX(Lists!$E$4:$E$14,MATCH($K359,Lists!$A$4:$A$14,0)),""))</f>
        <v/>
      </c>
      <c r="AB359" s="27" t="str">
        <f aca="false">IF($U359&lt;&gt;"",$U359,IF(OR($T359="",$M359&lt;&gt;"Active"),"",$T359+N($R359)))</f>
        <v/>
      </c>
      <c r="AC359" s="25" t="str">
        <f aca="false">IF(OR($T359="",$J359=""),"",$T359-$J359)</f>
        <v/>
      </c>
      <c r="AD359" s="25" t="str">
        <f aca="false">IF(AND($K359="Joined",$U359&lt;&gt;"",$J359&lt;&gt;""),$U359-$J359,"")</f>
        <v/>
      </c>
      <c r="AE359" s="25" t="str">
        <f aca="false">IF($K359="","",IF(OR($K359="Rejected",$K359="Withdrawn"),IFERROR(INDEX(Lists!$B$4:$B$14,MATCH($N359,Lists!$A$4:$A$14,0)),1),IFERROR(INDEX(Lists!$B$4:$B$14,MATCH($K359,Lists!$A$4:$A$14,0)),0)))</f>
        <v/>
      </c>
    </row>
    <row r="360" customFormat="false" ht="15" hidden="false" customHeight="false" outlineLevel="0" collapsed="false">
      <c r="A360" s="25" t="str">
        <f aca="false">IF($B360="","","C-"&amp;TEXT(ROW()-1,"0000"))</f>
        <v/>
      </c>
      <c r="B360" s="21"/>
      <c r="C360" s="21"/>
      <c r="D360" s="21"/>
      <c r="E360" s="21"/>
      <c r="F360" s="25" t="str">
        <f aca="false">IF($E360="","",IFERROR(INDEX(Requisitions!$B$2:$B$101,MATCH($E360,Requisitions!$A$2:$A$101,0)),"Unknown Req"))</f>
        <v/>
      </c>
      <c r="G360" s="25" t="str">
        <f aca="false">IF($E360="","",IFERROR(INDEX(Requisitions!$D$2:$D$101,MATCH($E360,Requisitions!$A$2:$A$101,0)),""))</f>
        <v/>
      </c>
      <c r="H360" s="21"/>
      <c r="I360" s="21"/>
      <c r="J360" s="22"/>
      <c r="K360" s="21"/>
      <c r="L360" s="22"/>
      <c r="M360" s="25" t="str">
        <f aca="false">IF($K360="","",IFERROR(INDEX(Lists!$D$4:$D$14,MATCH($K360,Lists!$A$4:$A$14,0)),"Check stage"))</f>
        <v/>
      </c>
      <c r="N360" s="21"/>
      <c r="O360" s="21"/>
      <c r="P360" s="26"/>
      <c r="Q360" s="26"/>
      <c r="R360" s="21"/>
      <c r="S360" s="21"/>
      <c r="T360" s="22"/>
      <c r="U360" s="22"/>
      <c r="V360" s="24" t="str">
        <f aca="false">IF(OR(N($P360)=0,$Q360=""),"",$Q360/$P360-1)</f>
        <v/>
      </c>
      <c r="W360" s="25" t="str">
        <f aca="true">IF($J360="","",IF($M360="Active",TODAY(),IF($U360&lt;&gt;"",$U360,IF($L360&lt;&gt;"",$L360,TODAY())))-$J360)</f>
        <v/>
      </c>
      <c r="X360" s="25" t="str">
        <f aca="true">IF(OR($L360="",$M360&lt;&gt;"Active"),"",TODAY()-$L360)</f>
        <v/>
      </c>
      <c r="Y360" s="25" t="str">
        <f aca="false">IF($M360&lt;&gt;"Active","",INDEX(Lists!$C$4:$C$14,MATCH($K360,Lists!$A$4:$A$14,0)))</f>
        <v/>
      </c>
      <c r="Z360" s="25" t="str">
        <f aca="false">IF($B360="","",IF($M360&lt;&gt;"Active","Closed",IF($X360="","",IF($X360&gt;$Y360,"BREACH","On Track"))))</f>
        <v/>
      </c>
      <c r="AA360" s="25" t="str">
        <f aca="false">IF($K360="","",IFERROR(INDEX(Lists!$E$4:$E$14,MATCH($K360,Lists!$A$4:$A$14,0)),""))</f>
        <v/>
      </c>
      <c r="AB360" s="27" t="str">
        <f aca="false">IF($U360&lt;&gt;"",$U360,IF(OR($T360="",$M360&lt;&gt;"Active"),"",$T360+N($R360)))</f>
        <v/>
      </c>
      <c r="AC360" s="25" t="str">
        <f aca="false">IF(OR($T360="",$J360=""),"",$T360-$J360)</f>
        <v/>
      </c>
      <c r="AD360" s="25" t="str">
        <f aca="false">IF(AND($K360="Joined",$U360&lt;&gt;"",$J360&lt;&gt;""),$U360-$J360,"")</f>
        <v/>
      </c>
      <c r="AE360" s="25" t="str">
        <f aca="false">IF($K360="","",IF(OR($K360="Rejected",$K360="Withdrawn"),IFERROR(INDEX(Lists!$B$4:$B$14,MATCH($N360,Lists!$A$4:$A$14,0)),1),IFERROR(INDEX(Lists!$B$4:$B$14,MATCH($K360,Lists!$A$4:$A$14,0)),0)))</f>
        <v/>
      </c>
    </row>
    <row r="361" customFormat="false" ht="15" hidden="false" customHeight="false" outlineLevel="0" collapsed="false">
      <c r="A361" s="25" t="str">
        <f aca="false">IF($B361="","","C-"&amp;TEXT(ROW()-1,"0000"))</f>
        <v/>
      </c>
      <c r="B361" s="21"/>
      <c r="C361" s="21"/>
      <c r="D361" s="21"/>
      <c r="E361" s="21"/>
      <c r="F361" s="25" t="str">
        <f aca="false">IF($E361="","",IFERROR(INDEX(Requisitions!$B$2:$B$101,MATCH($E361,Requisitions!$A$2:$A$101,0)),"Unknown Req"))</f>
        <v/>
      </c>
      <c r="G361" s="25" t="str">
        <f aca="false">IF($E361="","",IFERROR(INDEX(Requisitions!$D$2:$D$101,MATCH($E361,Requisitions!$A$2:$A$101,0)),""))</f>
        <v/>
      </c>
      <c r="H361" s="21"/>
      <c r="I361" s="21"/>
      <c r="J361" s="22"/>
      <c r="K361" s="21"/>
      <c r="L361" s="22"/>
      <c r="M361" s="25" t="str">
        <f aca="false">IF($K361="","",IFERROR(INDEX(Lists!$D$4:$D$14,MATCH($K361,Lists!$A$4:$A$14,0)),"Check stage"))</f>
        <v/>
      </c>
      <c r="N361" s="21"/>
      <c r="O361" s="21"/>
      <c r="P361" s="26"/>
      <c r="Q361" s="26"/>
      <c r="R361" s="21"/>
      <c r="S361" s="21"/>
      <c r="T361" s="22"/>
      <c r="U361" s="22"/>
      <c r="V361" s="24" t="str">
        <f aca="false">IF(OR(N($P361)=0,$Q361=""),"",$Q361/$P361-1)</f>
        <v/>
      </c>
      <c r="W361" s="25" t="str">
        <f aca="true">IF($J361="","",IF($M361="Active",TODAY(),IF($U361&lt;&gt;"",$U361,IF($L361&lt;&gt;"",$L361,TODAY())))-$J361)</f>
        <v/>
      </c>
      <c r="X361" s="25" t="str">
        <f aca="true">IF(OR($L361="",$M361&lt;&gt;"Active"),"",TODAY()-$L361)</f>
        <v/>
      </c>
      <c r="Y361" s="25" t="str">
        <f aca="false">IF($M361&lt;&gt;"Active","",INDEX(Lists!$C$4:$C$14,MATCH($K361,Lists!$A$4:$A$14,0)))</f>
        <v/>
      </c>
      <c r="Z361" s="25" t="str">
        <f aca="false">IF($B361="","",IF($M361&lt;&gt;"Active","Closed",IF($X361="","",IF($X361&gt;$Y361,"BREACH","On Track"))))</f>
        <v/>
      </c>
      <c r="AA361" s="25" t="str">
        <f aca="false">IF($K361="","",IFERROR(INDEX(Lists!$E$4:$E$14,MATCH($K361,Lists!$A$4:$A$14,0)),""))</f>
        <v/>
      </c>
      <c r="AB361" s="27" t="str">
        <f aca="false">IF($U361&lt;&gt;"",$U361,IF(OR($T361="",$M361&lt;&gt;"Active"),"",$T361+N($R361)))</f>
        <v/>
      </c>
      <c r="AC361" s="25" t="str">
        <f aca="false">IF(OR($T361="",$J361=""),"",$T361-$J361)</f>
        <v/>
      </c>
      <c r="AD361" s="25" t="str">
        <f aca="false">IF(AND($K361="Joined",$U361&lt;&gt;"",$J361&lt;&gt;""),$U361-$J361,"")</f>
        <v/>
      </c>
      <c r="AE361" s="25" t="str">
        <f aca="false">IF($K361="","",IF(OR($K361="Rejected",$K361="Withdrawn"),IFERROR(INDEX(Lists!$B$4:$B$14,MATCH($N361,Lists!$A$4:$A$14,0)),1),IFERROR(INDEX(Lists!$B$4:$B$14,MATCH($K361,Lists!$A$4:$A$14,0)),0)))</f>
        <v/>
      </c>
    </row>
    <row r="362" customFormat="false" ht="15" hidden="false" customHeight="false" outlineLevel="0" collapsed="false">
      <c r="A362" s="25" t="str">
        <f aca="false">IF($B362="","","C-"&amp;TEXT(ROW()-1,"0000"))</f>
        <v/>
      </c>
      <c r="B362" s="21"/>
      <c r="C362" s="21"/>
      <c r="D362" s="21"/>
      <c r="E362" s="21"/>
      <c r="F362" s="25" t="str">
        <f aca="false">IF($E362="","",IFERROR(INDEX(Requisitions!$B$2:$B$101,MATCH($E362,Requisitions!$A$2:$A$101,0)),"Unknown Req"))</f>
        <v/>
      </c>
      <c r="G362" s="25" t="str">
        <f aca="false">IF($E362="","",IFERROR(INDEX(Requisitions!$D$2:$D$101,MATCH($E362,Requisitions!$A$2:$A$101,0)),""))</f>
        <v/>
      </c>
      <c r="H362" s="21"/>
      <c r="I362" s="21"/>
      <c r="J362" s="22"/>
      <c r="K362" s="21"/>
      <c r="L362" s="22"/>
      <c r="M362" s="25" t="str">
        <f aca="false">IF($K362="","",IFERROR(INDEX(Lists!$D$4:$D$14,MATCH($K362,Lists!$A$4:$A$14,0)),"Check stage"))</f>
        <v/>
      </c>
      <c r="N362" s="21"/>
      <c r="O362" s="21"/>
      <c r="P362" s="26"/>
      <c r="Q362" s="26"/>
      <c r="R362" s="21"/>
      <c r="S362" s="21"/>
      <c r="T362" s="22"/>
      <c r="U362" s="22"/>
      <c r="V362" s="24" t="str">
        <f aca="false">IF(OR(N($P362)=0,$Q362=""),"",$Q362/$P362-1)</f>
        <v/>
      </c>
      <c r="W362" s="25" t="str">
        <f aca="true">IF($J362="","",IF($M362="Active",TODAY(),IF($U362&lt;&gt;"",$U362,IF($L362&lt;&gt;"",$L362,TODAY())))-$J362)</f>
        <v/>
      </c>
      <c r="X362" s="25" t="str">
        <f aca="true">IF(OR($L362="",$M362&lt;&gt;"Active"),"",TODAY()-$L362)</f>
        <v/>
      </c>
      <c r="Y362" s="25" t="str">
        <f aca="false">IF($M362&lt;&gt;"Active","",INDEX(Lists!$C$4:$C$14,MATCH($K362,Lists!$A$4:$A$14,0)))</f>
        <v/>
      </c>
      <c r="Z362" s="25" t="str">
        <f aca="false">IF($B362="","",IF($M362&lt;&gt;"Active","Closed",IF($X362="","",IF($X362&gt;$Y362,"BREACH","On Track"))))</f>
        <v/>
      </c>
      <c r="AA362" s="25" t="str">
        <f aca="false">IF($K362="","",IFERROR(INDEX(Lists!$E$4:$E$14,MATCH($K362,Lists!$A$4:$A$14,0)),""))</f>
        <v/>
      </c>
      <c r="AB362" s="27" t="str">
        <f aca="false">IF($U362&lt;&gt;"",$U362,IF(OR($T362="",$M362&lt;&gt;"Active"),"",$T362+N($R362)))</f>
        <v/>
      </c>
      <c r="AC362" s="25" t="str">
        <f aca="false">IF(OR($T362="",$J362=""),"",$T362-$J362)</f>
        <v/>
      </c>
      <c r="AD362" s="25" t="str">
        <f aca="false">IF(AND($K362="Joined",$U362&lt;&gt;"",$J362&lt;&gt;""),$U362-$J362,"")</f>
        <v/>
      </c>
      <c r="AE362" s="25" t="str">
        <f aca="false">IF($K362="","",IF(OR($K362="Rejected",$K362="Withdrawn"),IFERROR(INDEX(Lists!$B$4:$B$14,MATCH($N362,Lists!$A$4:$A$14,0)),1),IFERROR(INDEX(Lists!$B$4:$B$14,MATCH($K362,Lists!$A$4:$A$14,0)),0)))</f>
        <v/>
      </c>
    </row>
    <row r="363" customFormat="false" ht="15" hidden="false" customHeight="false" outlineLevel="0" collapsed="false">
      <c r="A363" s="25" t="str">
        <f aca="false">IF($B363="","","C-"&amp;TEXT(ROW()-1,"0000"))</f>
        <v/>
      </c>
      <c r="B363" s="21"/>
      <c r="C363" s="21"/>
      <c r="D363" s="21"/>
      <c r="E363" s="21"/>
      <c r="F363" s="25" t="str">
        <f aca="false">IF($E363="","",IFERROR(INDEX(Requisitions!$B$2:$B$101,MATCH($E363,Requisitions!$A$2:$A$101,0)),"Unknown Req"))</f>
        <v/>
      </c>
      <c r="G363" s="25" t="str">
        <f aca="false">IF($E363="","",IFERROR(INDEX(Requisitions!$D$2:$D$101,MATCH($E363,Requisitions!$A$2:$A$101,0)),""))</f>
        <v/>
      </c>
      <c r="H363" s="21"/>
      <c r="I363" s="21"/>
      <c r="J363" s="22"/>
      <c r="K363" s="21"/>
      <c r="L363" s="22"/>
      <c r="M363" s="25" t="str">
        <f aca="false">IF($K363="","",IFERROR(INDEX(Lists!$D$4:$D$14,MATCH($K363,Lists!$A$4:$A$14,0)),"Check stage"))</f>
        <v/>
      </c>
      <c r="N363" s="21"/>
      <c r="O363" s="21"/>
      <c r="P363" s="26"/>
      <c r="Q363" s="26"/>
      <c r="R363" s="21"/>
      <c r="S363" s="21"/>
      <c r="T363" s="22"/>
      <c r="U363" s="22"/>
      <c r="V363" s="24" t="str">
        <f aca="false">IF(OR(N($P363)=0,$Q363=""),"",$Q363/$P363-1)</f>
        <v/>
      </c>
      <c r="W363" s="25" t="str">
        <f aca="true">IF($J363="","",IF($M363="Active",TODAY(),IF($U363&lt;&gt;"",$U363,IF($L363&lt;&gt;"",$L363,TODAY())))-$J363)</f>
        <v/>
      </c>
      <c r="X363" s="25" t="str">
        <f aca="true">IF(OR($L363="",$M363&lt;&gt;"Active"),"",TODAY()-$L363)</f>
        <v/>
      </c>
      <c r="Y363" s="25" t="str">
        <f aca="false">IF($M363&lt;&gt;"Active","",INDEX(Lists!$C$4:$C$14,MATCH($K363,Lists!$A$4:$A$14,0)))</f>
        <v/>
      </c>
      <c r="Z363" s="25" t="str">
        <f aca="false">IF($B363="","",IF($M363&lt;&gt;"Active","Closed",IF($X363="","",IF($X363&gt;$Y363,"BREACH","On Track"))))</f>
        <v/>
      </c>
      <c r="AA363" s="25" t="str">
        <f aca="false">IF($K363="","",IFERROR(INDEX(Lists!$E$4:$E$14,MATCH($K363,Lists!$A$4:$A$14,0)),""))</f>
        <v/>
      </c>
      <c r="AB363" s="27" t="str">
        <f aca="false">IF($U363&lt;&gt;"",$U363,IF(OR($T363="",$M363&lt;&gt;"Active"),"",$T363+N($R363)))</f>
        <v/>
      </c>
      <c r="AC363" s="25" t="str">
        <f aca="false">IF(OR($T363="",$J363=""),"",$T363-$J363)</f>
        <v/>
      </c>
      <c r="AD363" s="25" t="str">
        <f aca="false">IF(AND($K363="Joined",$U363&lt;&gt;"",$J363&lt;&gt;""),$U363-$J363,"")</f>
        <v/>
      </c>
      <c r="AE363" s="25" t="str">
        <f aca="false">IF($K363="","",IF(OR($K363="Rejected",$K363="Withdrawn"),IFERROR(INDEX(Lists!$B$4:$B$14,MATCH($N363,Lists!$A$4:$A$14,0)),1),IFERROR(INDEX(Lists!$B$4:$B$14,MATCH($K363,Lists!$A$4:$A$14,0)),0)))</f>
        <v/>
      </c>
    </row>
    <row r="364" customFormat="false" ht="15" hidden="false" customHeight="false" outlineLevel="0" collapsed="false">
      <c r="A364" s="25" t="str">
        <f aca="false">IF($B364="","","C-"&amp;TEXT(ROW()-1,"0000"))</f>
        <v/>
      </c>
      <c r="B364" s="21"/>
      <c r="C364" s="21"/>
      <c r="D364" s="21"/>
      <c r="E364" s="21"/>
      <c r="F364" s="25" t="str">
        <f aca="false">IF($E364="","",IFERROR(INDEX(Requisitions!$B$2:$B$101,MATCH($E364,Requisitions!$A$2:$A$101,0)),"Unknown Req"))</f>
        <v/>
      </c>
      <c r="G364" s="25" t="str">
        <f aca="false">IF($E364="","",IFERROR(INDEX(Requisitions!$D$2:$D$101,MATCH($E364,Requisitions!$A$2:$A$101,0)),""))</f>
        <v/>
      </c>
      <c r="H364" s="21"/>
      <c r="I364" s="21"/>
      <c r="J364" s="22"/>
      <c r="K364" s="21"/>
      <c r="L364" s="22"/>
      <c r="M364" s="25" t="str">
        <f aca="false">IF($K364="","",IFERROR(INDEX(Lists!$D$4:$D$14,MATCH($K364,Lists!$A$4:$A$14,0)),"Check stage"))</f>
        <v/>
      </c>
      <c r="N364" s="21"/>
      <c r="O364" s="21"/>
      <c r="P364" s="26"/>
      <c r="Q364" s="26"/>
      <c r="R364" s="21"/>
      <c r="S364" s="21"/>
      <c r="T364" s="22"/>
      <c r="U364" s="22"/>
      <c r="V364" s="24" t="str">
        <f aca="false">IF(OR(N($P364)=0,$Q364=""),"",$Q364/$P364-1)</f>
        <v/>
      </c>
      <c r="W364" s="25" t="str">
        <f aca="true">IF($J364="","",IF($M364="Active",TODAY(),IF($U364&lt;&gt;"",$U364,IF($L364&lt;&gt;"",$L364,TODAY())))-$J364)</f>
        <v/>
      </c>
      <c r="X364" s="25" t="str">
        <f aca="true">IF(OR($L364="",$M364&lt;&gt;"Active"),"",TODAY()-$L364)</f>
        <v/>
      </c>
      <c r="Y364" s="25" t="str">
        <f aca="false">IF($M364&lt;&gt;"Active","",INDEX(Lists!$C$4:$C$14,MATCH($K364,Lists!$A$4:$A$14,0)))</f>
        <v/>
      </c>
      <c r="Z364" s="25" t="str">
        <f aca="false">IF($B364="","",IF($M364&lt;&gt;"Active","Closed",IF($X364="","",IF($X364&gt;$Y364,"BREACH","On Track"))))</f>
        <v/>
      </c>
      <c r="AA364" s="25" t="str">
        <f aca="false">IF($K364="","",IFERROR(INDEX(Lists!$E$4:$E$14,MATCH($K364,Lists!$A$4:$A$14,0)),""))</f>
        <v/>
      </c>
      <c r="AB364" s="27" t="str">
        <f aca="false">IF($U364&lt;&gt;"",$U364,IF(OR($T364="",$M364&lt;&gt;"Active"),"",$T364+N($R364)))</f>
        <v/>
      </c>
      <c r="AC364" s="25" t="str">
        <f aca="false">IF(OR($T364="",$J364=""),"",$T364-$J364)</f>
        <v/>
      </c>
      <c r="AD364" s="25" t="str">
        <f aca="false">IF(AND($K364="Joined",$U364&lt;&gt;"",$J364&lt;&gt;""),$U364-$J364,"")</f>
        <v/>
      </c>
      <c r="AE364" s="25" t="str">
        <f aca="false">IF($K364="","",IF(OR($K364="Rejected",$K364="Withdrawn"),IFERROR(INDEX(Lists!$B$4:$B$14,MATCH($N364,Lists!$A$4:$A$14,0)),1),IFERROR(INDEX(Lists!$B$4:$B$14,MATCH($K364,Lists!$A$4:$A$14,0)),0)))</f>
        <v/>
      </c>
    </row>
    <row r="365" customFormat="false" ht="15" hidden="false" customHeight="false" outlineLevel="0" collapsed="false">
      <c r="A365" s="25" t="str">
        <f aca="false">IF($B365="","","C-"&amp;TEXT(ROW()-1,"0000"))</f>
        <v/>
      </c>
      <c r="B365" s="21"/>
      <c r="C365" s="21"/>
      <c r="D365" s="21"/>
      <c r="E365" s="21"/>
      <c r="F365" s="25" t="str">
        <f aca="false">IF($E365="","",IFERROR(INDEX(Requisitions!$B$2:$B$101,MATCH($E365,Requisitions!$A$2:$A$101,0)),"Unknown Req"))</f>
        <v/>
      </c>
      <c r="G365" s="25" t="str">
        <f aca="false">IF($E365="","",IFERROR(INDEX(Requisitions!$D$2:$D$101,MATCH($E365,Requisitions!$A$2:$A$101,0)),""))</f>
        <v/>
      </c>
      <c r="H365" s="21"/>
      <c r="I365" s="21"/>
      <c r="J365" s="22"/>
      <c r="K365" s="21"/>
      <c r="L365" s="22"/>
      <c r="M365" s="25" t="str">
        <f aca="false">IF($K365="","",IFERROR(INDEX(Lists!$D$4:$D$14,MATCH($K365,Lists!$A$4:$A$14,0)),"Check stage"))</f>
        <v/>
      </c>
      <c r="N365" s="21"/>
      <c r="O365" s="21"/>
      <c r="P365" s="26"/>
      <c r="Q365" s="26"/>
      <c r="R365" s="21"/>
      <c r="S365" s="21"/>
      <c r="T365" s="22"/>
      <c r="U365" s="22"/>
      <c r="V365" s="24" t="str">
        <f aca="false">IF(OR(N($P365)=0,$Q365=""),"",$Q365/$P365-1)</f>
        <v/>
      </c>
      <c r="W365" s="25" t="str">
        <f aca="true">IF($J365="","",IF($M365="Active",TODAY(),IF($U365&lt;&gt;"",$U365,IF($L365&lt;&gt;"",$L365,TODAY())))-$J365)</f>
        <v/>
      </c>
      <c r="X365" s="25" t="str">
        <f aca="true">IF(OR($L365="",$M365&lt;&gt;"Active"),"",TODAY()-$L365)</f>
        <v/>
      </c>
      <c r="Y365" s="25" t="str">
        <f aca="false">IF($M365&lt;&gt;"Active","",INDEX(Lists!$C$4:$C$14,MATCH($K365,Lists!$A$4:$A$14,0)))</f>
        <v/>
      </c>
      <c r="Z365" s="25" t="str">
        <f aca="false">IF($B365="","",IF($M365&lt;&gt;"Active","Closed",IF($X365="","",IF($X365&gt;$Y365,"BREACH","On Track"))))</f>
        <v/>
      </c>
      <c r="AA365" s="25" t="str">
        <f aca="false">IF($K365="","",IFERROR(INDEX(Lists!$E$4:$E$14,MATCH($K365,Lists!$A$4:$A$14,0)),""))</f>
        <v/>
      </c>
      <c r="AB365" s="27" t="str">
        <f aca="false">IF($U365&lt;&gt;"",$U365,IF(OR($T365="",$M365&lt;&gt;"Active"),"",$T365+N($R365)))</f>
        <v/>
      </c>
      <c r="AC365" s="25" t="str">
        <f aca="false">IF(OR($T365="",$J365=""),"",$T365-$J365)</f>
        <v/>
      </c>
      <c r="AD365" s="25" t="str">
        <f aca="false">IF(AND($K365="Joined",$U365&lt;&gt;"",$J365&lt;&gt;""),$U365-$J365,"")</f>
        <v/>
      </c>
      <c r="AE365" s="25" t="str">
        <f aca="false">IF($K365="","",IF(OR($K365="Rejected",$K365="Withdrawn"),IFERROR(INDEX(Lists!$B$4:$B$14,MATCH($N365,Lists!$A$4:$A$14,0)),1),IFERROR(INDEX(Lists!$B$4:$B$14,MATCH($K365,Lists!$A$4:$A$14,0)),0)))</f>
        <v/>
      </c>
    </row>
    <row r="366" customFormat="false" ht="15" hidden="false" customHeight="false" outlineLevel="0" collapsed="false">
      <c r="A366" s="25" t="str">
        <f aca="false">IF($B366="","","C-"&amp;TEXT(ROW()-1,"0000"))</f>
        <v/>
      </c>
      <c r="B366" s="21"/>
      <c r="C366" s="21"/>
      <c r="D366" s="21"/>
      <c r="E366" s="21"/>
      <c r="F366" s="25" t="str">
        <f aca="false">IF($E366="","",IFERROR(INDEX(Requisitions!$B$2:$B$101,MATCH($E366,Requisitions!$A$2:$A$101,0)),"Unknown Req"))</f>
        <v/>
      </c>
      <c r="G366" s="25" t="str">
        <f aca="false">IF($E366="","",IFERROR(INDEX(Requisitions!$D$2:$D$101,MATCH($E366,Requisitions!$A$2:$A$101,0)),""))</f>
        <v/>
      </c>
      <c r="H366" s="21"/>
      <c r="I366" s="21"/>
      <c r="J366" s="22"/>
      <c r="K366" s="21"/>
      <c r="L366" s="22"/>
      <c r="M366" s="25" t="str">
        <f aca="false">IF($K366="","",IFERROR(INDEX(Lists!$D$4:$D$14,MATCH($K366,Lists!$A$4:$A$14,0)),"Check stage"))</f>
        <v/>
      </c>
      <c r="N366" s="21"/>
      <c r="O366" s="21"/>
      <c r="P366" s="26"/>
      <c r="Q366" s="26"/>
      <c r="R366" s="21"/>
      <c r="S366" s="21"/>
      <c r="T366" s="22"/>
      <c r="U366" s="22"/>
      <c r="V366" s="24" t="str">
        <f aca="false">IF(OR(N($P366)=0,$Q366=""),"",$Q366/$P366-1)</f>
        <v/>
      </c>
      <c r="W366" s="25" t="str">
        <f aca="true">IF($J366="","",IF($M366="Active",TODAY(),IF($U366&lt;&gt;"",$U366,IF($L366&lt;&gt;"",$L366,TODAY())))-$J366)</f>
        <v/>
      </c>
      <c r="X366" s="25" t="str">
        <f aca="true">IF(OR($L366="",$M366&lt;&gt;"Active"),"",TODAY()-$L366)</f>
        <v/>
      </c>
      <c r="Y366" s="25" t="str">
        <f aca="false">IF($M366&lt;&gt;"Active","",INDEX(Lists!$C$4:$C$14,MATCH($K366,Lists!$A$4:$A$14,0)))</f>
        <v/>
      </c>
      <c r="Z366" s="25" t="str">
        <f aca="false">IF($B366="","",IF($M366&lt;&gt;"Active","Closed",IF($X366="","",IF($X366&gt;$Y366,"BREACH","On Track"))))</f>
        <v/>
      </c>
      <c r="AA366" s="25" t="str">
        <f aca="false">IF($K366="","",IFERROR(INDEX(Lists!$E$4:$E$14,MATCH($K366,Lists!$A$4:$A$14,0)),""))</f>
        <v/>
      </c>
      <c r="AB366" s="27" t="str">
        <f aca="false">IF($U366&lt;&gt;"",$U366,IF(OR($T366="",$M366&lt;&gt;"Active"),"",$T366+N($R366)))</f>
        <v/>
      </c>
      <c r="AC366" s="25" t="str">
        <f aca="false">IF(OR($T366="",$J366=""),"",$T366-$J366)</f>
        <v/>
      </c>
      <c r="AD366" s="25" t="str">
        <f aca="false">IF(AND($K366="Joined",$U366&lt;&gt;"",$J366&lt;&gt;""),$U366-$J366,"")</f>
        <v/>
      </c>
      <c r="AE366" s="25" t="str">
        <f aca="false">IF($K366="","",IF(OR($K366="Rejected",$K366="Withdrawn"),IFERROR(INDEX(Lists!$B$4:$B$14,MATCH($N366,Lists!$A$4:$A$14,0)),1),IFERROR(INDEX(Lists!$B$4:$B$14,MATCH($K366,Lists!$A$4:$A$14,0)),0)))</f>
        <v/>
      </c>
    </row>
    <row r="367" customFormat="false" ht="15" hidden="false" customHeight="false" outlineLevel="0" collapsed="false">
      <c r="A367" s="25" t="str">
        <f aca="false">IF($B367="","","C-"&amp;TEXT(ROW()-1,"0000"))</f>
        <v/>
      </c>
      <c r="B367" s="21"/>
      <c r="C367" s="21"/>
      <c r="D367" s="21"/>
      <c r="E367" s="21"/>
      <c r="F367" s="25" t="str">
        <f aca="false">IF($E367="","",IFERROR(INDEX(Requisitions!$B$2:$B$101,MATCH($E367,Requisitions!$A$2:$A$101,0)),"Unknown Req"))</f>
        <v/>
      </c>
      <c r="G367" s="25" t="str">
        <f aca="false">IF($E367="","",IFERROR(INDEX(Requisitions!$D$2:$D$101,MATCH($E367,Requisitions!$A$2:$A$101,0)),""))</f>
        <v/>
      </c>
      <c r="H367" s="21"/>
      <c r="I367" s="21"/>
      <c r="J367" s="22"/>
      <c r="K367" s="21"/>
      <c r="L367" s="22"/>
      <c r="M367" s="25" t="str">
        <f aca="false">IF($K367="","",IFERROR(INDEX(Lists!$D$4:$D$14,MATCH($K367,Lists!$A$4:$A$14,0)),"Check stage"))</f>
        <v/>
      </c>
      <c r="N367" s="21"/>
      <c r="O367" s="21"/>
      <c r="P367" s="26"/>
      <c r="Q367" s="26"/>
      <c r="R367" s="21"/>
      <c r="S367" s="21"/>
      <c r="T367" s="22"/>
      <c r="U367" s="22"/>
      <c r="V367" s="24" t="str">
        <f aca="false">IF(OR(N($P367)=0,$Q367=""),"",$Q367/$P367-1)</f>
        <v/>
      </c>
      <c r="W367" s="25" t="str">
        <f aca="true">IF($J367="","",IF($M367="Active",TODAY(),IF($U367&lt;&gt;"",$U367,IF($L367&lt;&gt;"",$L367,TODAY())))-$J367)</f>
        <v/>
      </c>
      <c r="X367" s="25" t="str">
        <f aca="true">IF(OR($L367="",$M367&lt;&gt;"Active"),"",TODAY()-$L367)</f>
        <v/>
      </c>
      <c r="Y367" s="25" t="str">
        <f aca="false">IF($M367&lt;&gt;"Active","",INDEX(Lists!$C$4:$C$14,MATCH($K367,Lists!$A$4:$A$14,0)))</f>
        <v/>
      </c>
      <c r="Z367" s="25" t="str">
        <f aca="false">IF($B367="","",IF($M367&lt;&gt;"Active","Closed",IF($X367="","",IF($X367&gt;$Y367,"BREACH","On Track"))))</f>
        <v/>
      </c>
      <c r="AA367" s="25" t="str">
        <f aca="false">IF($K367="","",IFERROR(INDEX(Lists!$E$4:$E$14,MATCH($K367,Lists!$A$4:$A$14,0)),""))</f>
        <v/>
      </c>
      <c r="AB367" s="27" t="str">
        <f aca="false">IF($U367&lt;&gt;"",$U367,IF(OR($T367="",$M367&lt;&gt;"Active"),"",$T367+N($R367)))</f>
        <v/>
      </c>
      <c r="AC367" s="25" t="str">
        <f aca="false">IF(OR($T367="",$J367=""),"",$T367-$J367)</f>
        <v/>
      </c>
      <c r="AD367" s="25" t="str">
        <f aca="false">IF(AND($K367="Joined",$U367&lt;&gt;"",$J367&lt;&gt;""),$U367-$J367,"")</f>
        <v/>
      </c>
      <c r="AE367" s="25" t="str">
        <f aca="false">IF($K367="","",IF(OR($K367="Rejected",$K367="Withdrawn"),IFERROR(INDEX(Lists!$B$4:$B$14,MATCH($N367,Lists!$A$4:$A$14,0)),1),IFERROR(INDEX(Lists!$B$4:$B$14,MATCH($K367,Lists!$A$4:$A$14,0)),0)))</f>
        <v/>
      </c>
    </row>
    <row r="368" customFormat="false" ht="15" hidden="false" customHeight="false" outlineLevel="0" collapsed="false">
      <c r="A368" s="25" t="str">
        <f aca="false">IF($B368="","","C-"&amp;TEXT(ROW()-1,"0000"))</f>
        <v/>
      </c>
      <c r="B368" s="21"/>
      <c r="C368" s="21"/>
      <c r="D368" s="21"/>
      <c r="E368" s="21"/>
      <c r="F368" s="25" t="str">
        <f aca="false">IF($E368="","",IFERROR(INDEX(Requisitions!$B$2:$B$101,MATCH($E368,Requisitions!$A$2:$A$101,0)),"Unknown Req"))</f>
        <v/>
      </c>
      <c r="G368" s="25" t="str">
        <f aca="false">IF($E368="","",IFERROR(INDEX(Requisitions!$D$2:$D$101,MATCH($E368,Requisitions!$A$2:$A$101,0)),""))</f>
        <v/>
      </c>
      <c r="H368" s="21"/>
      <c r="I368" s="21"/>
      <c r="J368" s="22"/>
      <c r="K368" s="21"/>
      <c r="L368" s="22"/>
      <c r="M368" s="25" t="str">
        <f aca="false">IF($K368="","",IFERROR(INDEX(Lists!$D$4:$D$14,MATCH($K368,Lists!$A$4:$A$14,0)),"Check stage"))</f>
        <v/>
      </c>
      <c r="N368" s="21"/>
      <c r="O368" s="21"/>
      <c r="P368" s="26"/>
      <c r="Q368" s="26"/>
      <c r="R368" s="21"/>
      <c r="S368" s="21"/>
      <c r="T368" s="22"/>
      <c r="U368" s="22"/>
      <c r="V368" s="24" t="str">
        <f aca="false">IF(OR(N($P368)=0,$Q368=""),"",$Q368/$P368-1)</f>
        <v/>
      </c>
      <c r="W368" s="25" t="str">
        <f aca="true">IF($J368="","",IF($M368="Active",TODAY(),IF($U368&lt;&gt;"",$U368,IF($L368&lt;&gt;"",$L368,TODAY())))-$J368)</f>
        <v/>
      </c>
      <c r="X368" s="25" t="str">
        <f aca="true">IF(OR($L368="",$M368&lt;&gt;"Active"),"",TODAY()-$L368)</f>
        <v/>
      </c>
      <c r="Y368" s="25" t="str">
        <f aca="false">IF($M368&lt;&gt;"Active","",INDEX(Lists!$C$4:$C$14,MATCH($K368,Lists!$A$4:$A$14,0)))</f>
        <v/>
      </c>
      <c r="Z368" s="25" t="str">
        <f aca="false">IF($B368="","",IF($M368&lt;&gt;"Active","Closed",IF($X368="","",IF($X368&gt;$Y368,"BREACH","On Track"))))</f>
        <v/>
      </c>
      <c r="AA368" s="25" t="str">
        <f aca="false">IF($K368="","",IFERROR(INDEX(Lists!$E$4:$E$14,MATCH($K368,Lists!$A$4:$A$14,0)),""))</f>
        <v/>
      </c>
      <c r="AB368" s="27" t="str">
        <f aca="false">IF($U368&lt;&gt;"",$U368,IF(OR($T368="",$M368&lt;&gt;"Active"),"",$T368+N($R368)))</f>
        <v/>
      </c>
      <c r="AC368" s="25" t="str">
        <f aca="false">IF(OR($T368="",$J368=""),"",$T368-$J368)</f>
        <v/>
      </c>
      <c r="AD368" s="25" t="str">
        <f aca="false">IF(AND($K368="Joined",$U368&lt;&gt;"",$J368&lt;&gt;""),$U368-$J368,"")</f>
        <v/>
      </c>
      <c r="AE368" s="25" t="str">
        <f aca="false">IF($K368="","",IF(OR($K368="Rejected",$K368="Withdrawn"),IFERROR(INDEX(Lists!$B$4:$B$14,MATCH($N368,Lists!$A$4:$A$14,0)),1),IFERROR(INDEX(Lists!$B$4:$B$14,MATCH($K368,Lists!$A$4:$A$14,0)),0)))</f>
        <v/>
      </c>
    </row>
    <row r="369" customFormat="false" ht="15" hidden="false" customHeight="false" outlineLevel="0" collapsed="false">
      <c r="A369" s="25" t="str">
        <f aca="false">IF($B369="","","C-"&amp;TEXT(ROW()-1,"0000"))</f>
        <v/>
      </c>
      <c r="B369" s="21"/>
      <c r="C369" s="21"/>
      <c r="D369" s="21"/>
      <c r="E369" s="21"/>
      <c r="F369" s="25" t="str">
        <f aca="false">IF($E369="","",IFERROR(INDEX(Requisitions!$B$2:$B$101,MATCH($E369,Requisitions!$A$2:$A$101,0)),"Unknown Req"))</f>
        <v/>
      </c>
      <c r="G369" s="25" t="str">
        <f aca="false">IF($E369="","",IFERROR(INDEX(Requisitions!$D$2:$D$101,MATCH($E369,Requisitions!$A$2:$A$101,0)),""))</f>
        <v/>
      </c>
      <c r="H369" s="21"/>
      <c r="I369" s="21"/>
      <c r="J369" s="22"/>
      <c r="K369" s="21"/>
      <c r="L369" s="22"/>
      <c r="M369" s="25" t="str">
        <f aca="false">IF($K369="","",IFERROR(INDEX(Lists!$D$4:$D$14,MATCH($K369,Lists!$A$4:$A$14,0)),"Check stage"))</f>
        <v/>
      </c>
      <c r="N369" s="21"/>
      <c r="O369" s="21"/>
      <c r="P369" s="26"/>
      <c r="Q369" s="26"/>
      <c r="R369" s="21"/>
      <c r="S369" s="21"/>
      <c r="T369" s="22"/>
      <c r="U369" s="22"/>
      <c r="V369" s="24" t="str">
        <f aca="false">IF(OR(N($P369)=0,$Q369=""),"",$Q369/$P369-1)</f>
        <v/>
      </c>
      <c r="W369" s="25" t="str">
        <f aca="true">IF($J369="","",IF($M369="Active",TODAY(),IF($U369&lt;&gt;"",$U369,IF($L369&lt;&gt;"",$L369,TODAY())))-$J369)</f>
        <v/>
      </c>
      <c r="X369" s="25" t="str">
        <f aca="true">IF(OR($L369="",$M369&lt;&gt;"Active"),"",TODAY()-$L369)</f>
        <v/>
      </c>
      <c r="Y369" s="25" t="str">
        <f aca="false">IF($M369&lt;&gt;"Active","",INDEX(Lists!$C$4:$C$14,MATCH($K369,Lists!$A$4:$A$14,0)))</f>
        <v/>
      </c>
      <c r="Z369" s="25" t="str">
        <f aca="false">IF($B369="","",IF($M369&lt;&gt;"Active","Closed",IF($X369="","",IF($X369&gt;$Y369,"BREACH","On Track"))))</f>
        <v/>
      </c>
      <c r="AA369" s="25" t="str">
        <f aca="false">IF($K369="","",IFERROR(INDEX(Lists!$E$4:$E$14,MATCH($K369,Lists!$A$4:$A$14,0)),""))</f>
        <v/>
      </c>
      <c r="AB369" s="27" t="str">
        <f aca="false">IF($U369&lt;&gt;"",$U369,IF(OR($T369="",$M369&lt;&gt;"Active"),"",$T369+N($R369)))</f>
        <v/>
      </c>
      <c r="AC369" s="25" t="str">
        <f aca="false">IF(OR($T369="",$J369=""),"",$T369-$J369)</f>
        <v/>
      </c>
      <c r="AD369" s="25" t="str">
        <f aca="false">IF(AND($K369="Joined",$U369&lt;&gt;"",$J369&lt;&gt;""),$U369-$J369,"")</f>
        <v/>
      </c>
      <c r="AE369" s="25" t="str">
        <f aca="false">IF($K369="","",IF(OR($K369="Rejected",$K369="Withdrawn"),IFERROR(INDEX(Lists!$B$4:$B$14,MATCH($N369,Lists!$A$4:$A$14,0)),1),IFERROR(INDEX(Lists!$B$4:$B$14,MATCH($K369,Lists!$A$4:$A$14,0)),0)))</f>
        <v/>
      </c>
    </row>
    <row r="370" customFormat="false" ht="15" hidden="false" customHeight="false" outlineLevel="0" collapsed="false">
      <c r="A370" s="25" t="str">
        <f aca="false">IF($B370="","","C-"&amp;TEXT(ROW()-1,"0000"))</f>
        <v/>
      </c>
      <c r="B370" s="21"/>
      <c r="C370" s="21"/>
      <c r="D370" s="21"/>
      <c r="E370" s="21"/>
      <c r="F370" s="25" t="str">
        <f aca="false">IF($E370="","",IFERROR(INDEX(Requisitions!$B$2:$B$101,MATCH($E370,Requisitions!$A$2:$A$101,0)),"Unknown Req"))</f>
        <v/>
      </c>
      <c r="G370" s="25" t="str">
        <f aca="false">IF($E370="","",IFERROR(INDEX(Requisitions!$D$2:$D$101,MATCH($E370,Requisitions!$A$2:$A$101,0)),""))</f>
        <v/>
      </c>
      <c r="H370" s="21"/>
      <c r="I370" s="21"/>
      <c r="J370" s="22"/>
      <c r="K370" s="21"/>
      <c r="L370" s="22"/>
      <c r="M370" s="25" t="str">
        <f aca="false">IF($K370="","",IFERROR(INDEX(Lists!$D$4:$D$14,MATCH($K370,Lists!$A$4:$A$14,0)),"Check stage"))</f>
        <v/>
      </c>
      <c r="N370" s="21"/>
      <c r="O370" s="21"/>
      <c r="P370" s="26"/>
      <c r="Q370" s="26"/>
      <c r="R370" s="21"/>
      <c r="S370" s="21"/>
      <c r="T370" s="22"/>
      <c r="U370" s="22"/>
      <c r="V370" s="24" t="str">
        <f aca="false">IF(OR(N($P370)=0,$Q370=""),"",$Q370/$P370-1)</f>
        <v/>
      </c>
      <c r="W370" s="25" t="str">
        <f aca="true">IF($J370="","",IF($M370="Active",TODAY(),IF($U370&lt;&gt;"",$U370,IF($L370&lt;&gt;"",$L370,TODAY())))-$J370)</f>
        <v/>
      </c>
      <c r="X370" s="25" t="str">
        <f aca="true">IF(OR($L370="",$M370&lt;&gt;"Active"),"",TODAY()-$L370)</f>
        <v/>
      </c>
      <c r="Y370" s="25" t="str">
        <f aca="false">IF($M370&lt;&gt;"Active","",INDEX(Lists!$C$4:$C$14,MATCH($K370,Lists!$A$4:$A$14,0)))</f>
        <v/>
      </c>
      <c r="Z370" s="25" t="str">
        <f aca="false">IF($B370="","",IF($M370&lt;&gt;"Active","Closed",IF($X370="","",IF($X370&gt;$Y370,"BREACH","On Track"))))</f>
        <v/>
      </c>
      <c r="AA370" s="25" t="str">
        <f aca="false">IF($K370="","",IFERROR(INDEX(Lists!$E$4:$E$14,MATCH($K370,Lists!$A$4:$A$14,0)),""))</f>
        <v/>
      </c>
      <c r="AB370" s="27" t="str">
        <f aca="false">IF($U370&lt;&gt;"",$U370,IF(OR($T370="",$M370&lt;&gt;"Active"),"",$T370+N($R370)))</f>
        <v/>
      </c>
      <c r="AC370" s="25" t="str">
        <f aca="false">IF(OR($T370="",$J370=""),"",$T370-$J370)</f>
        <v/>
      </c>
      <c r="AD370" s="25" t="str">
        <f aca="false">IF(AND($K370="Joined",$U370&lt;&gt;"",$J370&lt;&gt;""),$U370-$J370,"")</f>
        <v/>
      </c>
      <c r="AE370" s="25" t="str">
        <f aca="false">IF($K370="","",IF(OR($K370="Rejected",$K370="Withdrawn"),IFERROR(INDEX(Lists!$B$4:$B$14,MATCH($N370,Lists!$A$4:$A$14,0)),1),IFERROR(INDEX(Lists!$B$4:$B$14,MATCH($K370,Lists!$A$4:$A$14,0)),0)))</f>
        <v/>
      </c>
    </row>
    <row r="371" customFormat="false" ht="15" hidden="false" customHeight="false" outlineLevel="0" collapsed="false">
      <c r="A371" s="25" t="str">
        <f aca="false">IF($B371="","","C-"&amp;TEXT(ROW()-1,"0000"))</f>
        <v/>
      </c>
      <c r="B371" s="21"/>
      <c r="C371" s="21"/>
      <c r="D371" s="21"/>
      <c r="E371" s="21"/>
      <c r="F371" s="25" t="str">
        <f aca="false">IF($E371="","",IFERROR(INDEX(Requisitions!$B$2:$B$101,MATCH($E371,Requisitions!$A$2:$A$101,0)),"Unknown Req"))</f>
        <v/>
      </c>
      <c r="G371" s="25" t="str">
        <f aca="false">IF($E371="","",IFERROR(INDEX(Requisitions!$D$2:$D$101,MATCH($E371,Requisitions!$A$2:$A$101,0)),""))</f>
        <v/>
      </c>
      <c r="H371" s="21"/>
      <c r="I371" s="21"/>
      <c r="J371" s="22"/>
      <c r="K371" s="21"/>
      <c r="L371" s="22"/>
      <c r="M371" s="25" t="str">
        <f aca="false">IF($K371="","",IFERROR(INDEX(Lists!$D$4:$D$14,MATCH($K371,Lists!$A$4:$A$14,0)),"Check stage"))</f>
        <v/>
      </c>
      <c r="N371" s="21"/>
      <c r="O371" s="21"/>
      <c r="P371" s="26"/>
      <c r="Q371" s="26"/>
      <c r="R371" s="21"/>
      <c r="S371" s="21"/>
      <c r="T371" s="22"/>
      <c r="U371" s="22"/>
      <c r="V371" s="24" t="str">
        <f aca="false">IF(OR(N($P371)=0,$Q371=""),"",$Q371/$P371-1)</f>
        <v/>
      </c>
      <c r="W371" s="25" t="str">
        <f aca="true">IF($J371="","",IF($M371="Active",TODAY(),IF($U371&lt;&gt;"",$U371,IF($L371&lt;&gt;"",$L371,TODAY())))-$J371)</f>
        <v/>
      </c>
      <c r="X371" s="25" t="str">
        <f aca="true">IF(OR($L371="",$M371&lt;&gt;"Active"),"",TODAY()-$L371)</f>
        <v/>
      </c>
      <c r="Y371" s="25" t="str">
        <f aca="false">IF($M371&lt;&gt;"Active","",INDEX(Lists!$C$4:$C$14,MATCH($K371,Lists!$A$4:$A$14,0)))</f>
        <v/>
      </c>
      <c r="Z371" s="25" t="str">
        <f aca="false">IF($B371="","",IF($M371&lt;&gt;"Active","Closed",IF($X371="","",IF($X371&gt;$Y371,"BREACH","On Track"))))</f>
        <v/>
      </c>
      <c r="AA371" s="25" t="str">
        <f aca="false">IF($K371="","",IFERROR(INDEX(Lists!$E$4:$E$14,MATCH($K371,Lists!$A$4:$A$14,0)),""))</f>
        <v/>
      </c>
      <c r="AB371" s="27" t="str">
        <f aca="false">IF($U371&lt;&gt;"",$U371,IF(OR($T371="",$M371&lt;&gt;"Active"),"",$T371+N($R371)))</f>
        <v/>
      </c>
      <c r="AC371" s="25" t="str">
        <f aca="false">IF(OR($T371="",$J371=""),"",$T371-$J371)</f>
        <v/>
      </c>
      <c r="AD371" s="25" t="str">
        <f aca="false">IF(AND($K371="Joined",$U371&lt;&gt;"",$J371&lt;&gt;""),$U371-$J371,"")</f>
        <v/>
      </c>
      <c r="AE371" s="25" t="str">
        <f aca="false">IF($K371="","",IF(OR($K371="Rejected",$K371="Withdrawn"),IFERROR(INDEX(Lists!$B$4:$B$14,MATCH($N371,Lists!$A$4:$A$14,0)),1),IFERROR(INDEX(Lists!$B$4:$B$14,MATCH($K371,Lists!$A$4:$A$14,0)),0)))</f>
        <v/>
      </c>
    </row>
    <row r="372" customFormat="false" ht="15" hidden="false" customHeight="false" outlineLevel="0" collapsed="false">
      <c r="A372" s="25" t="str">
        <f aca="false">IF($B372="","","C-"&amp;TEXT(ROW()-1,"0000"))</f>
        <v/>
      </c>
      <c r="B372" s="21"/>
      <c r="C372" s="21"/>
      <c r="D372" s="21"/>
      <c r="E372" s="21"/>
      <c r="F372" s="25" t="str">
        <f aca="false">IF($E372="","",IFERROR(INDEX(Requisitions!$B$2:$B$101,MATCH($E372,Requisitions!$A$2:$A$101,0)),"Unknown Req"))</f>
        <v/>
      </c>
      <c r="G372" s="25" t="str">
        <f aca="false">IF($E372="","",IFERROR(INDEX(Requisitions!$D$2:$D$101,MATCH($E372,Requisitions!$A$2:$A$101,0)),""))</f>
        <v/>
      </c>
      <c r="H372" s="21"/>
      <c r="I372" s="21"/>
      <c r="J372" s="22"/>
      <c r="K372" s="21"/>
      <c r="L372" s="22"/>
      <c r="M372" s="25" t="str">
        <f aca="false">IF($K372="","",IFERROR(INDEX(Lists!$D$4:$D$14,MATCH($K372,Lists!$A$4:$A$14,0)),"Check stage"))</f>
        <v/>
      </c>
      <c r="N372" s="21"/>
      <c r="O372" s="21"/>
      <c r="P372" s="26"/>
      <c r="Q372" s="26"/>
      <c r="R372" s="21"/>
      <c r="S372" s="21"/>
      <c r="T372" s="22"/>
      <c r="U372" s="22"/>
      <c r="V372" s="24" t="str">
        <f aca="false">IF(OR(N($P372)=0,$Q372=""),"",$Q372/$P372-1)</f>
        <v/>
      </c>
      <c r="W372" s="25" t="str">
        <f aca="true">IF($J372="","",IF($M372="Active",TODAY(),IF($U372&lt;&gt;"",$U372,IF($L372&lt;&gt;"",$L372,TODAY())))-$J372)</f>
        <v/>
      </c>
      <c r="X372" s="25" t="str">
        <f aca="true">IF(OR($L372="",$M372&lt;&gt;"Active"),"",TODAY()-$L372)</f>
        <v/>
      </c>
      <c r="Y372" s="25" t="str">
        <f aca="false">IF($M372&lt;&gt;"Active","",INDEX(Lists!$C$4:$C$14,MATCH($K372,Lists!$A$4:$A$14,0)))</f>
        <v/>
      </c>
      <c r="Z372" s="25" t="str">
        <f aca="false">IF($B372="","",IF($M372&lt;&gt;"Active","Closed",IF($X372="","",IF($X372&gt;$Y372,"BREACH","On Track"))))</f>
        <v/>
      </c>
      <c r="AA372" s="25" t="str">
        <f aca="false">IF($K372="","",IFERROR(INDEX(Lists!$E$4:$E$14,MATCH($K372,Lists!$A$4:$A$14,0)),""))</f>
        <v/>
      </c>
      <c r="AB372" s="27" t="str">
        <f aca="false">IF($U372&lt;&gt;"",$U372,IF(OR($T372="",$M372&lt;&gt;"Active"),"",$T372+N($R372)))</f>
        <v/>
      </c>
      <c r="AC372" s="25" t="str">
        <f aca="false">IF(OR($T372="",$J372=""),"",$T372-$J372)</f>
        <v/>
      </c>
      <c r="AD372" s="25" t="str">
        <f aca="false">IF(AND($K372="Joined",$U372&lt;&gt;"",$J372&lt;&gt;""),$U372-$J372,"")</f>
        <v/>
      </c>
      <c r="AE372" s="25" t="str">
        <f aca="false">IF($K372="","",IF(OR($K372="Rejected",$K372="Withdrawn"),IFERROR(INDEX(Lists!$B$4:$B$14,MATCH($N372,Lists!$A$4:$A$14,0)),1),IFERROR(INDEX(Lists!$B$4:$B$14,MATCH($K372,Lists!$A$4:$A$14,0)),0)))</f>
        <v/>
      </c>
    </row>
    <row r="373" customFormat="false" ht="15" hidden="false" customHeight="false" outlineLevel="0" collapsed="false">
      <c r="A373" s="25" t="str">
        <f aca="false">IF($B373="","","C-"&amp;TEXT(ROW()-1,"0000"))</f>
        <v/>
      </c>
      <c r="B373" s="21"/>
      <c r="C373" s="21"/>
      <c r="D373" s="21"/>
      <c r="E373" s="21"/>
      <c r="F373" s="25" t="str">
        <f aca="false">IF($E373="","",IFERROR(INDEX(Requisitions!$B$2:$B$101,MATCH($E373,Requisitions!$A$2:$A$101,0)),"Unknown Req"))</f>
        <v/>
      </c>
      <c r="G373" s="25" t="str">
        <f aca="false">IF($E373="","",IFERROR(INDEX(Requisitions!$D$2:$D$101,MATCH($E373,Requisitions!$A$2:$A$101,0)),""))</f>
        <v/>
      </c>
      <c r="H373" s="21"/>
      <c r="I373" s="21"/>
      <c r="J373" s="22"/>
      <c r="K373" s="21"/>
      <c r="L373" s="22"/>
      <c r="M373" s="25" t="str">
        <f aca="false">IF($K373="","",IFERROR(INDEX(Lists!$D$4:$D$14,MATCH($K373,Lists!$A$4:$A$14,0)),"Check stage"))</f>
        <v/>
      </c>
      <c r="N373" s="21"/>
      <c r="O373" s="21"/>
      <c r="P373" s="26"/>
      <c r="Q373" s="26"/>
      <c r="R373" s="21"/>
      <c r="S373" s="21"/>
      <c r="T373" s="22"/>
      <c r="U373" s="22"/>
      <c r="V373" s="24" t="str">
        <f aca="false">IF(OR(N($P373)=0,$Q373=""),"",$Q373/$P373-1)</f>
        <v/>
      </c>
      <c r="W373" s="25" t="str">
        <f aca="true">IF($J373="","",IF($M373="Active",TODAY(),IF($U373&lt;&gt;"",$U373,IF($L373&lt;&gt;"",$L373,TODAY())))-$J373)</f>
        <v/>
      </c>
      <c r="X373" s="25" t="str">
        <f aca="true">IF(OR($L373="",$M373&lt;&gt;"Active"),"",TODAY()-$L373)</f>
        <v/>
      </c>
      <c r="Y373" s="25" t="str">
        <f aca="false">IF($M373&lt;&gt;"Active","",INDEX(Lists!$C$4:$C$14,MATCH($K373,Lists!$A$4:$A$14,0)))</f>
        <v/>
      </c>
      <c r="Z373" s="25" t="str">
        <f aca="false">IF($B373="","",IF($M373&lt;&gt;"Active","Closed",IF($X373="","",IF($X373&gt;$Y373,"BREACH","On Track"))))</f>
        <v/>
      </c>
      <c r="AA373" s="25" t="str">
        <f aca="false">IF($K373="","",IFERROR(INDEX(Lists!$E$4:$E$14,MATCH($K373,Lists!$A$4:$A$14,0)),""))</f>
        <v/>
      </c>
      <c r="AB373" s="27" t="str">
        <f aca="false">IF($U373&lt;&gt;"",$U373,IF(OR($T373="",$M373&lt;&gt;"Active"),"",$T373+N($R373)))</f>
        <v/>
      </c>
      <c r="AC373" s="25" t="str">
        <f aca="false">IF(OR($T373="",$J373=""),"",$T373-$J373)</f>
        <v/>
      </c>
      <c r="AD373" s="25" t="str">
        <f aca="false">IF(AND($K373="Joined",$U373&lt;&gt;"",$J373&lt;&gt;""),$U373-$J373,"")</f>
        <v/>
      </c>
      <c r="AE373" s="25" t="str">
        <f aca="false">IF($K373="","",IF(OR($K373="Rejected",$K373="Withdrawn"),IFERROR(INDEX(Lists!$B$4:$B$14,MATCH($N373,Lists!$A$4:$A$14,0)),1),IFERROR(INDEX(Lists!$B$4:$B$14,MATCH($K373,Lists!$A$4:$A$14,0)),0)))</f>
        <v/>
      </c>
    </row>
    <row r="374" customFormat="false" ht="15" hidden="false" customHeight="false" outlineLevel="0" collapsed="false">
      <c r="A374" s="25" t="str">
        <f aca="false">IF($B374="","","C-"&amp;TEXT(ROW()-1,"0000"))</f>
        <v/>
      </c>
      <c r="B374" s="21"/>
      <c r="C374" s="21"/>
      <c r="D374" s="21"/>
      <c r="E374" s="21"/>
      <c r="F374" s="25" t="str">
        <f aca="false">IF($E374="","",IFERROR(INDEX(Requisitions!$B$2:$B$101,MATCH($E374,Requisitions!$A$2:$A$101,0)),"Unknown Req"))</f>
        <v/>
      </c>
      <c r="G374" s="25" t="str">
        <f aca="false">IF($E374="","",IFERROR(INDEX(Requisitions!$D$2:$D$101,MATCH($E374,Requisitions!$A$2:$A$101,0)),""))</f>
        <v/>
      </c>
      <c r="H374" s="21"/>
      <c r="I374" s="21"/>
      <c r="J374" s="22"/>
      <c r="K374" s="21"/>
      <c r="L374" s="22"/>
      <c r="M374" s="25" t="str">
        <f aca="false">IF($K374="","",IFERROR(INDEX(Lists!$D$4:$D$14,MATCH($K374,Lists!$A$4:$A$14,0)),"Check stage"))</f>
        <v/>
      </c>
      <c r="N374" s="21"/>
      <c r="O374" s="21"/>
      <c r="P374" s="26"/>
      <c r="Q374" s="26"/>
      <c r="R374" s="21"/>
      <c r="S374" s="21"/>
      <c r="T374" s="22"/>
      <c r="U374" s="22"/>
      <c r="V374" s="24" t="str">
        <f aca="false">IF(OR(N($P374)=0,$Q374=""),"",$Q374/$P374-1)</f>
        <v/>
      </c>
      <c r="W374" s="25" t="str">
        <f aca="true">IF($J374="","",IF($M374="Active",TODAY(),IF($U374&lt;&gt;"",$U374,IF($L374&lt;&gt;"",$L374,TODAY())))-$J374)</f>
        <v/>
      </c>
      <c r="X374" s="25" t="str">
        <f aca="true">IF(OR($L374="",$M374&lt;&gt;"Active"),"",TODAY()-$L374)</f>
        <v/>
      </c>
      <c r="Y374" s="25" t="str">
        <f aca="false">IF($M374&lt;&gt;"Active","",INDEX(Lists!$C$4:$C$14,MATCH($K374,Lists!$A$4:$A$14,0)))</f>
        <v/>
      </c>
      <c r="Z374" s="25" t="str">
        <f aca="false">IF($B374="","",IF($M374&lt;&gt;"Active","Closed",IF($X374="","",IF($X374&gt;$Y374,"BREACH","On Track"))))</f>
        <v/>
      </c>
      <c r="AA374" s="25" t="str">
        <f aca="false">IF($K374="","",IFERROR(INDEX(Lists!$E$4:$E$14,MATCH($K374,Lists!$A$4:$A$14,0)),""))</f>
        <v/>
      </c>
      <c r="AB374" s="27" t="str">
        <f aca="false">IF($U374&lt;&gt;"",$U374,IF(OR($T374="",$M374&lt;&gt;"Active"),"",$T374+N($R374)))</f>
        <v/>
      </c>
      <c r="AC374" s="25" t="str">
        <f aca="false">IF(OR($T374="",$J374=""),"",$T374-$J374)</f>
        <v/>
      </c>
      <c r="AD374" s="25" t="str">
        <f aca="false">IF(AND($K374="Joined",$U374&lt;&gt;"",$J374&lt;&gt;""),$U374-$J374,"")</f>
        <v/>
      </c>
      <c r="AE374" s="25" t="str">
        <f aca="false">IF($K374="","",IF(OR($K374="Rejected",$K374="Withdrawn"),IFERROR(INDEX(Lists!$B$4:$B$14,MATCH($N374,Lists!$A$4:$A$14,0)),1),IFERROR(INDEX(Lists!$B$4:$B$14,MATCH($K374,Lists!$A$4:$A$14,0)),0)))</f>
        <v/>
      </c>
    </row>
    <row r="375" customFormat="false" ht="15" hidden="false" customHeight="false" outlineLevel="0" collapsed="false">
      <c r="A375" s="25" t="str">
        <f aca="false">IF($B375="","","C-"&amp;TEXT(ROW()-1,"0000"))</f>
        <v/>
      </c>
      <c r="B375" s="21"/>
      <c r="C375" s="21"/>
      <c r="D375" s="21"/>
      <c r="E375" s="21"/>
      <c r="F375" s="25" t="str">
        <f aca="false">IF($E375="","",IFERROR(INDEX(Requisitions!$B$2:$B$101,MATCH($E375,Requisitions!$A$2:$A$101,0)),"Unknown Req"))</f>
        <v/>
      </c>
      <c r="G375" s="25" t="str">
        <f aca="false">IF($E375="","",IFERROR(INDEX(Requisitions!$D$2:$D$101,MATCH($E375,Requisitions!$A$2:$A$101,0)),""))</f>
        <v/>
      </c>
      <c r="H375" s="21"/>
      <c r="I375" s="21"/>
      <c r="J375" s="22"/>
      <c r="K375" s="21"/>
      <c r="L375" s="22"/>
      <c r="M375" s="25" t="str">
        <f aca="false">IF($K375="","",IFERROR(INDEX(Lists!$D$4:$D$14,MATCH($K375,Lists!$A$4:$A$14,0)),"Check stage"))</f>
        <v/>
      </c>
      <c r="N375" s="21"/>
      <c r="O375" s="21"/>
      <c r="P375" s="26"/>
      <c r="Q375" s="26"/>
      <c r="R375" s="21"/>
      <c r="S375" s="21"/>
      <c r="T375" s="22"/>
      <c r="U375" s="22"/>
      <c r="V375" s="24" t="str">
        <f aca="false">IF(OR(N($P375)=0,$Q375=""),"",$Q375/$P375-1)</f>
        <v/>
      </c>
      <c r="W375" s="25" t="str">
        <f aca="true">IF($J375="","",IF($M375="Active",TODAY(),IF($U375&lt;&gt;"",$U375,IF($L375&lt;&gt;"",$L375,TODAY())))-$J375)</f>
        <v/>
      </c>
      <c r="X375" s="25" t="str">
        <f aca="true">IF(OR($L375="",$M375&lt;&gt;"Active"),"",TODAY()-$L375)</f>
        <v/>
      </c>
      <c r="Y375" s="25" t="str">
        <f aca="false">IF($M375&lt;&gt;"Active","",INDEX(Lists!$C$4:$C$14,MATCH($K375,Lists!$A$4:$A$14,0)))</f>
        <v/>
      </c>
      <c r="Z375" s="25" t="str">
        <f aca="false">IF($B375="","",IF($M375&lt;&gt;"Active","Closed",IF($X375="","",IF($X375&gt;$Y375,"BREACH","On Track"))))</f>
        <v/>
      </c>
      <c r="AA375" s="25" t="str">
        <f aca="false">IF($K375="","",IFERROR(INDEX(Lists!$E$4:$E$14,MATCH($K375,Lists!$A$4:$A$14,0)),""))</f>
        <v/>
      </c>
      <c r="AB375" s="27" t="str">
        <f aca="false">IF($U375&lt;&gt;"",$U375,IF(OR($T375="",$M375&lt;&gt;"Active"),"",$T375+N($R375)))</f>
        <v/>
      </c>
      <c r="AC375" s="25" t="str">
        <f aca="false">IF(OR($T375="",$J375=""),"",$T375-$J375)</f>
        <v/>
      </c>
      <c r="AD375" s="25" t="str">
        <f aca="false">IF(AND($K375="Joined",$U375&lt;&gt;"",$J375&lt;&gt;""),$U375-$J375,"")</f>
        <v/>
      </c>
      <c r="AE375" s="25" t="str">
        <f aca="false">IF($K375="","",IF(OR($K375="Rejected",$K375="Withdrawn"),IFERROR(INDEX(Lists!$B$4:$B$14,MATCH($N375,Lists!$A$4:$A$14,0)),1),IFERROR(INDEX(Lists!$B$4:$B$14,MATCH($K375,Lists!$A$4:$A$14,0)),0)))</f>
        <v/>
      </c>
    </row>
    <row r="376" customFormat="false" ht="15" hidden="false" customHeight="false" outlineLevel="0" collapsed="false">
      <c r="A376" s="25" t="str">
        <f aca="false">IF($B376="","","C-"&amp;TEXT(ROW()-1,"0000"))</f>
        <v/>
      </c>
      <c r="B376" s="21"/>
      <c r="C376" s="21"/>
      <c r="D376" s="21"/>
      <c r="E376" s="21"/>
      <c r="F376" s="25" t="str">
        <f aca="false">IF($E376="","",IFERROR(INDEX(Requisitions!$B$2:$B$101,MATCH($E376,Requisitions!$A$2:$A$101,0)),"Unknown Req"))</f>
        <v/>
      </c>
      <c r="G376" s="25" t="str">
        <f aca="false">IF($E376="","",IFERROR(INDEX(Requisitions!$D$2:$D$101,MATCH($E376,Requisitions!$A$2:$A$101,0)),""))</f>
        <v/>
      </c>
      <c r="H376" s="21"/>
      <c r="I376" s="21"/>
      <c r="J376" s="22"/>
      <c r="K376" s="21"/>
      <c r="L376" s="22"/>
      <c r="M376" s="25" t="str">
        <f aca="false">IF($K376="","",IFERROR(INDEX(Lists!$D$4:$D$14,MATCH($K376,Lists!$A$4:$A$14,0)),"Check stage"))</f>
        <v/>
      </c>
      <c r="N376" s="21"/>
      <c r="O376" s="21"/>
      <c r="P376" s="26"/>
      <c r="Q376" s="26"/>
      <c r="R376" s="21"/>
      <c r="S376" s="21"/>
      <c r="T376" s="22"/>
      <c r="U376" s="22"/>
      <c r="V376" s="24" t="str">
        <f aca="false">IF(OR(N($P376)=0,$Q376=""),"",$Q376/$P376-1)</f>
        <v/>
      </c>
      <c r="W376" s="25" t="str">
        <f aca="true">IF($J376="","",IF($M376="Active",TODAY(),IF($U376&lt;&gt;"",$U376,IF($L376&lt;&gt;"",$L376,TODAY())))-$J376)</f>
        <v/>
      </c>
      <c r="X376" s="25" t="str">
        <f aca="true">IF(OR($L376="",$M376&lt;&gt;"Active"),"",TODAY()-$L376)</f>
        <v/>
      </c>
      <c r="Y376" s="25" t="str">
        <f aca="false">IF($M376&lt;&gt;"Active","",INDEX(Lists!$C$4:$C$14,MATCH($K376,Lists!$A$4:$A$14,0)))</f>
        <v/>
      </c>
      <c r="Z376" s="25" t="str">
        <f aca="false">IF($B376="","",IF($M376&lt;&gt;"Active","Closed",IF($X376="","",IF($X376&gt;$Y376,"BREACH","On Track"))))</f>
        <v/>
      </c>
      <c r="AA376" s="25" t="str">
        <f aca="false">IF($K376="","",IFERROR(INDEX(Lists!$E$4:$E$14,MATCH($K376,Lists!$A$4:$A$14,0)),""))</f>
        <v/>
      </c>
      <c r="AB376" s="27" t="str">
        <f aca="false">IF($U376&lt;&gt;"",$U376,IF(OR($T376="",$M376&lt;&gt;"Active"),"",$T376+N($R376)))</f>
        <v/>
      </c>
      <c r="AC376" s="25" t="str">
        <f aca="false">IF(OR($T376="",$J376=""),"",$T376-$J376)</f>
        <v/>
      </c>
      <c r="AD376" s="25" t="str">
        <f aca="false">IF(AND($K376="Joined",$U376&lt;&gt;"",$J376&lt;&gt;""),$U376-$J376,"")</f>
        <v/>
      </c>
      <c r="AE376" s="25" t="str">
        <f aca="false">IF($K376="","",IF(OR($K376="Rejected",$K376="Withdrawn"),IFERROR(INDEX(Lists!$B$4:$B$14,MATCH($N376,Lists!$A$4:$A$14,0)),1),IFERROR(INDEX(Lists!$B$4:$B$14,MATCH($K376,Lists!$A$4:$A$14,0)),0)))</f>
        <v/>
      </c>
    </row>
    <row r="377" customFormat="false" ht="15" hidden="false" customHeight="false" outlineLevel="0" collapsed="false">
      <c r="A377" s="25" t="str">
        <f aca="false">IF($B377="","","C-"&amp;TEXT(ROW()-1,"0000"))</f>
        <v/>
      </c>
      <c r="B377" s="21"/>
      <c r="C377" s="21"/>
      <c r="D377" s="21"/>
      <c r="E377" s="21"/>
      <c r="F377" s="25" t="str">
        <f aca="false">IF($E377="","",IFERROR(INDEX(Requisitions!$B$2:$B$101,MATCH($E377,Requisitions!$A$2:$A$101,0)),"Unknown Req"))</f>
        <v/>
      </c>
      <c r="G377" s="25" t="str">
        <f aca="false">IF($E377="","",IFERROR(INDEX(Requisitions!$D$2:$D$101,MATCH($E377,Requisitions!$A$2:$A$101,0)),""))</f>
        <v/>
      </c>
      <c r="H377" s="21"/>
      <c r="I377" s="21"/>
      <c r="J377" s="22"/>
      <c r="K377" s="21"/>
      <c r="L377" s="22"/>
      <c r="M377" s="25" t="str">
        <f aca="false">IF($K377="","",IFERROR(INDEX(Lists!$D$4:$D$14,MATCH($K377,Lists!$A$4:$A$14,0)),"Check stage"))</f>
        <v/>
      </c>
      <c r="N377" s="21"/>
      <c r="O377" s="21"/>
      <c r="P377" s="26"/>
      <c r="Q377" s="26"/>
      <c r="R377" s="21"/>
      <c r="S377" s="21"/>
      <c r="T377" s="22"/>
      <c r="U377" s="22"/>
      <c r="V377" s="24" t="str">
        <f aca="false">IF(OR(N($P377)=0,$Q377=""),"",$Q377/$P377-1)</f>
        <v/>
      </c>
      <c r="W377" s="25" t="str">
        <f aca="true">IF($J377="","",IF($M377="Active",TODAY(),IF($U377&lt;&gt;"",$U377,IF($L377&lt;&gt;"",$L377,TODAY())))-$J377)</f>
        <v/>
      </c>
      <c r="X377" s="25" t="str">
        <f aca="true">IF(OR($L377="",$M377&lt;&gt;"Active"),"",TODAY()-$L377)</f>
        <v/>
      </c>
      <c r="Y377" s="25" t="str">
        <f aca="false">IF($M377&lt;&gt;"Active","",INDEX(Lists!$C$4:$C$14,MATCH($K377,Lists!$A$4:$A$14,0)))</f>
        <v/>
      </c>
      <c r="Z377" s="25" t="str">
        <f aca="false">IF($B377="","",IF($M377&lt;&gt;"Active","Closed",IF($X377="","",IF($X377&gt;$Y377,"BREACH","On Track"))))</f>
        <v/>
      </c>
      <c r="AA377" s="25" t="str">
        <f aca="false">IF($K377="","",IFERROR(INDEX(Lists!$E$4:$E$14,MATCH($K377,Lists!$A$4:$A$14,0)),""))</f>
        <v/>
      </c>
      <c r="AB377" s="27" t="str">
        <f aca="false">IF($U377&lt;&gt;"",$U377,IF(OR($T377="",$M377&lt;&gt;"Active"),"",$T377+N($R377)))</f>
        <v/>
      </c>
      <c r="AC377" s="25" t="str">
        <f aca="false">IF(OR($T377="",$J377=""),"",$T377-$J377)</f>
        <v/>
      </c>
      <c r="AD377" s="25" t="str">
        <f aca="false">IF(AND($K377="Joined",$U377&lt;&gt;"",$J377&lt;&gt;""),$U377-$J377,"")</f>
        <v/>
      </c>
      <c r="AE377" s="25" t="str">
        <f aca="false">IF($K377="","",IF(OR($K377="Rejected",$K377="Withdrawn"),IFERROR(INDEX(Lists!$B$4:$B$14,MATCH($N377,Lists!$A$4:$A$14,0)),1),IFERROR(INDEX(Lists!$B$4:$B$14,MATCH($K377,Lists!$A$4:$A$14,0)),0)))</f>
        <v/>
      </c>
    </row>
    <row r="378" customFormat="false" ht="15" hidden="false" customHeight="false" outlineLevel="0" collapsed="false">
      <c r="A378" s="25" t="str">
        <f aca="false">IF($B378="","","C-"&amp;TEXT(ROW()-1,"0000"))</f>
        <v/>
      </c>
      <c r="B378" s="21"/>
      <c r="C378" s="21"/>
      <c r="D378" s="21"/>
      <c r="E378" s="21"/>
      <c r="F378" s="25" t="str">
        <f aca="false">IF($E378="","",IFERROR(INDEX(Requisitions!$B$2:$B$101,MATCH($E378,Requisitions!$A$2:$A$101,0)),"Unknown Req"))</f>
        <v/>
      </c>
      <c r="G378" s="25" t="str">
        <f aca="false">IF($E378="","",IFERROR(INDEX(Requisitions!$D$2:$D$101,MATCH($E378,Requisitions!$A$2:$A$101,0)),""))</f>
        <v/>
      </c>
      <c r="H378" s="21"/>
      <c r="I378" s="21"/>
      <c r="J378" s="22"/>
      <c r="K378" s="21"/>
      <c r="L378" s="22"/>
      <c r="M378" s="25" t="str">
        <f aca="false">IF($K378="","",IFERROR(INDEX(Lists!$D$4:$D$14,MATCH($K378,Lists!$A$4:$A$14,0)),"Check stage"))</f>
        <v/>
      </c>
      <c r="N378" s="21"/>
      <c r="O378" s="21"/>
      <c r="P378" s="26"/>
      <c r="Q378" s="26"/>
      <c r="R378" s="21"/>
      <c r="S378" s="21"/>
      <c r="T378" s="22"/>
      <c r="U378" s="22"/>
      <c r="V378" s="24" t="str">
        <f aca="false">IF(OR(N($P378)=0,$Q378=""),"",$Q378/$P378-1)</f>
        <v/>
      </c>
      <c r="W378" s="25" t="str">
        <f aca="true">IF($J378="","",IF($M378="Active",TODAY(),IF($U378&lt;&gt;"",$U378,IF($L378&lt;&gt;"",$L378,TODAY())))-$J378)</f>
        <v/>
      </c>
      <c r="X378" s="25" t="str">
        <f aca="true">IF(OR($L378="",$M378&lt;&gt;"Active"),"",TODAY()-$L378)</f>
        <v/>
      </c>
      <c r="Y378" s="25" t="str">
        <f aca="false">IF($M378&lt;&gt;"Active","",INDEX(Lists!$C$4:$C$14,MATCH($K378,Lists!$A$4:$A$14,0)))</f>
        <v/>
      </c>
      <c r="Z378" s="25" t="str">
        <f aca="false">IF($B378="","",IF($M378&lt;&gt;"Active","Closed",IF($X378="","",IF($X378&gt;$Y378,"BREACH","On Track"))))</f>
        <v/>
      </c>
      <c r="AA378" s="25" t="str">
        <f aca="false">IF($K378="","",IFERROR(INDEX(Lists!$E$4:$E$14,MATCH($K378,Lists!$A$4:$A$14,0)),""))</f>
        <v/>
      </c>
      <c r="AB378" s="27" t="str">
        <f aca="false">IF($U378&lt;&gt;"",$U378,IF(OR($T378="",$M378&lt;&gt;"Active"),"",$T378+N($R378)))</f>
        <v/>
      </c>
      <c r="AC378" s="25" t="str">
        <f aca="false">IF(OR($T378="",$J378=""),"",$T378-$J378)</f>
        <v/>
      </c>
      <c r="AD378" s="25" t="str">
        <f aca="false">IF(AND($K378="Joined",$U378&lt;&gt;"",$J378&lt;&gt;""),$U378-$J378,"")</f>
        <v/>
      </c>
      <c r="AE378" s="25" t="str">
        <f aca="false">IF($K378="","",IF(OR($K378="Rejected",$K378="Withdrawn"),IFERROR(INDEX(Lists!$B$4:$B$14,MATCH($N378,Lists!$A$4:$A$14,0)),1),IFERROR(INDEX(Lists!$B$4:$B$14,MATCH($K378,Lists!$A$4:$A$14,0)),0)))</f>
        <v/>
      </c>
    </row>
    <row r="379" customFormat="false" ht="15" hidden="false" customHeight="false" outlineLevel="0" collapsed="false">
      <c r="A379" s="25" t="str">
        <f aca="false">IF($B379="","","C-"&amp;TEXT(ROW()-1,"0000"))</f>
        <v/>
      </c>
      <c r="B379" s="21"/>
      <c r="C379" s="21"/>
      <c r="D379" s="21"/>
      <c r="E379" s="21"/>
      <c r="F379" s="25" t="str">
        <f aca="false">IF($E379="","",IFERROR(INDEX(Requisitions!$B$2:$B$101,MATCH($E379,Requisitions!$A$2:$A$101,0)),"Unknown Req"))</f>
        <v/>
      </c>
      <c r="G379" s="25" t="str">
        <f aca="false">IF($E379="","",IFERROR(INDEX(Requisitions!$D$2:$D$101,MATCH($E379,Requisitions!$A$2:$A$101,0)),""))</f>
        <v/>
      </c>
      <c r="H379" s="21"/>
      <c r="I379" s="21"/>
      <c r="J379" s="22"/>
      <c r="K379" s="21"/>
      <c r="L379" s="22"/>
      <c r="M379" s="25" t="str">
        <f aca="false">IF($K379="","",IFERROR(INDEX(Lists!$D$4:$D$14,MATCH($K379,Lists!$A$4:$A$14,0)),"Check stage"))</f>
        <v/>
      </c>
      <c r="N379" s="21"/>
      <c r="O379" s="21"/>
      <c r="P379" s="26"/>
      <c r="Q379" s="26"/>
      <c r="R379" s="21"/>
      <c r="S379" s="21"/>
      <c r="T379" s="22"/>
      <c r="U379" s="22"/>
      <c r="V379" s="24" t="str">
        <f aca="false">IF(OR(N($P379)=0,$Q379=""),"",$Q379/$P379-1)</f>
        <v/>
      </c>
      <c r="W379" s="25" t="str">
        <f aca="true">IF($J379="","",IF($M379="Active",TODAY(),IF($U379&lt;&gt;"",$U379,IF($L379&lt;&gt;"",$L379,TODAY())))-$J379)</f>
        <v/>
      </c>
      <c r="X379" s="25" t="str">
        <f aca="true">IF(OR($L379="",$M379&lt;&gt;"Active"),"",TODAY()-$L379)</f>
        <v/>
      </c>
      <c r="Y379" s="25" t="str">
        <f aca="false">IF($M379&lt;&gt;"Active","",INDEX(Lists!$C$4:$C$14,MATCH($K379,Lists!$A$4:$A$14,0)))</f>
        <v/>
      </c>
      <c r="Z379" s="25" t="str">
        <f aca="false">IF($B379="","",IF($M379&lt;&gt;"Active","Closed",IF($X379="","",IF($X379&gt;$Y379,"BREACH","On Track"))))</f>
        <v/>
      </c>
      <c r="AA379" s="25" t="str">
        <f aca="false">IF($K379="","",IFERROR(INDEX(Lists!$E$4:$E$14,MATCH($K379,Lists!$A$4:$A$14,0)),""))</f>
        <v/>
      </c>
      <c r="AB379" s="27" t="str">
        <f aca="false">IF($U379&lt;&gt;"",$U379,IF(OR($T379="",$M379&lt;&gt;"Active"),"",$T379+N($R379)))</f>
        <v/>
      </c>
      <c r="AC379" s="25" t="str">
        <f aca="false">IF(OR($T379="",$J379=""),"",$T379-$J379)</f>
        <v/>
      </c>
      <c r="AD379" s="25" t="str">
        <f aca="false">IF(AND($K379="Joined",$U379&lt;&gt;"",$J379&lt;&gt;""),$U379-$J379,"")</f>
        <v/>
      </c>
      <c r="AE379" s="25" t="str">
        <f aca="false">IF($K379="","",IF(OR($K379="Rejected",$K379="Withdrawn"),IFERROR(INDEX(Lists!$B$4:$B$14,MATCH($N379,Lists!$A$4:$A$14,0)),1),IFERROR(INDEX(Lists!$B$4:$B$14,MATCH($K379,Lists!$A$4:$A$14,0)),0)))</f>
        <v/>
      </c>
    </row>
    <row r="380" customFormat="false" ht="15" hidden="false" customHeight="false" outlineLevel="0" collapsed="false">
      <c r="A380" s="25" t="str">
        <f aca="false">IF($B380="","","C-"&amp;TEXT(ROW()-1,"0000"))</f>
        <v/>
      </c>
      <c r="B380" s="21"/>
      <c r="C380" s="21"/>
      <c r="D380" s="21"/>
      <c r="E380" s="21"/>
      <c r="F380" s="25" t="str">
        <f aca="false">IF($E380="","",IFERROR(INDEX(Requisitions!$B$2:$B$101,MATCH($E380,Requisitions!$A$2:$A$101,0)),"Unknown Req"))</f>
        <v/>
      </c>
      <c r="G380" s="25" t="str">
        <f aca="false">IF($E380="","",IFERROR(INDEX(Requisitions!$D$2:$D$101,MATCH($E380,Requisitions!$A$2:$A$101,0)),""))</f>
        <v/>
      </c>
      <c r="H380" s="21"/>
      <c r="I380" s="21"/>
      <c r="J380" s="22"/>
      <c r="K380" s="21"/>
      <c r="L380" s="22"/>
      <c r="M380" s="25" t="str">
        <f aca="false">IF($K380="","",IFERROR(INDEX(Lists!$D$4:$D$14,MATCH($K380,Lists!$A$4:$A$14,0)),"Check stage"))</f>
        <v/>
      </c>
      <c r="N380" s="21"/>
      <c r="O380" s="21"/>
      <c r="P380" s="26"/>
      <c r="Q380" s="26"/>
      <c r="R380" s="21"/>
      <c r="S380" s="21"/>
      <c r="T380" s="22"/>
      <c r="U380" s="22"/>
      <c r="V380" s="24" t="str">
        <f aca="false">IF(OR(N($P380)=0,$Q380=""),"",$Q380/$P380-1)</f>
        <v/>
      </c>
      <c r="W380" s="25" t="str">
        <f aca="true">IF($J380="","",IF($M380="Active",TODAY(),IF($U380&lt;&gt;"",$U380,IF($L380&lt;&gt;"",$L380,TODAY())))-$J380)</f>
        <v/>
      </c>
      <c r="X380" s="25" t="str">
        <f aca="true">IF(OR($L380="",$M380&lt;&gt;"Active"),"",TODAY()-$L380)</f>
        <v/>
      </c>
      <c r="Y380" s="25" t="str">
        <f aca="false">IF($M380&lt;&gt;"Active","",INDEX(Lists!$C$4:$C$14,MATCH($K380,Lists!$A$4:$A$14,0)))</f>
        <v/>
      </c>
      <c r="Z380" s="25" t="str">
        <f aca="false">IF($B380="","",IF($M380&lt;&gt;"Active","Closed",IF($X380="","",IF($X380&gt;$Y380,"BREACH","On Track"))))</f>
        <v/>
      </c>
      <c r="AA380" s="25" t="str">
        <f aca="false">IF($K380="","",IFERROR(INDEX(Lists!$E$4:$E$14,MATCH($K380,Lists!$A$4:$A$14,0)),""))</f>
        <v/>
      </c>
      <c r="AB380" s="27" t="str">
        <f aca="false">IF($U380&lt;&gt;"",$U380,IF(OR($T380="",$M380&lt;&gt;"Active"),"",$T380+N($R380)))</f>
        <v/>
      </c>
      <c r="AC380" s="25" t="str">
        <f aca="false">IF(OR($T380="",$J380=""),"",$T380-$J380)</f>
        <v/>
      </c>
      <c r="AD380" s="25" t="str">
        <f aca="false">IF(AND($K380="Joined",$U380&lt;&gt;"",$J380&lt;&gt;""),$U380-$J380,"")</f>
        <v/>
      </c>
      <c r="AE380" s="25" t="str">
        <f aca="false">IF($K380="","",IF(OR($K380="Rejected",$K380="Withdrawn"),IFERROR(INDEX(Lists!$B$4:$B$14,MATCH($N380,Lists!$A$4:$A$14,0)),1),IFERROR(INDEX(Lists!$B$4:$B$14,MATCH($K380,Lists!$A$4:$A$14,0)),0)))</f>
        <v/>
      </c>
    </row>
    <row r="381" customFormat="false" ht="15" hidden="false" customHeight="false" outlineLevel="0" collapsed="false">
      <c r="A381" s="25" t="str">
        <f aca="false">IF($B381="","","C-"&amp;TEXT(ROW()-1,"0000"))</f>
        <v/>
      </c>
      <c r="B381" s="21"/>
      <c r="C381" s="21"/>
      <c r="D381" s="21"/>
      <c r="E381" s="21"/>
      <c r="F381" s="25" t="str">
        <f aca="false">IF($E381="","",IFERROR(INDEX(Requisitions!$B$2:$B$101,MATCH($E381,Requisitions!$A$2:$A$101,0)),"Unknown Req"))</f>
        <v/>
      </c>
      <c r="G381" s="25" t="str">
        <f aca="false">IF($E381="","",IFERROR(INDEX(Requisitions!$D$2:$D$101,MATCH($E381,Requisitions!$A$2:$A$101,0)),""))</f>
        <v/>
      </c>
      <c r="H381" s="21"/>
      <c r="I381" s="21"/>
      <c r="J381" s="22"/>
      <c r="K381" s="21"/>
      <c r="L381" s="22"/>
      <c r="M381" s="25" t="str">
        <f aca="false">IF($K381="","",IFERROR(INDEX(Lists!$D$4:$D$14,MATCH($K381,Lists!$A$4:$A$14,0)),"Check stage"))</f>
        <v/>
      </c>
      <c r="N381" s="21"/>
      <c r="O381" s="21"/>
      <c r="P381" s="26"/>
      <c r="Q381" s="26"/>
      <c r="R381" s="21"/>
      <c r="S381" s="21"/>
      <c r="T381" s="22"/>
      <c r="U381" s="22"/>
      <c r="V381" s="24" t="str">
        <f aca="false">IF(OR(N($P381)=0,$Q381=""),"",$Q381/$P381-1)</f>
        <v/>
      </c>
      <c r="W381" s="25" t="str">
        <f aca="true">IF($J381="","",IF($M381="Active",TODAY(),IF($U381&lt;&gt;"",$U381,IF($L381&lt;&gt;"",$L381,TODAY())))-$J381)</f>
        <v/>
      </c>
      <c r="X381" s="25" t="str">
        <f aca="true">IF(OR($L381="",$M381&lt;&gt;"Active"),"",TODAY()-$L381)</f>
        <v/>
      </c>
      <c r="Y381" s="25" t="str">
        <f aca="false">IF($M381&lt;&gt;"Active","",INDEX(Lists!$C$4:$C$14,MATCH($K381,Lists!$A$4:$A$14,0)))</f>
        <v/>
      </c>
      <c r="Z381" s="25" t="str">
        <f aca="false">IF($B381="","",IF($M381&lt;&gt;"Active","Closed",IF($X381="","",IF($X381&gt;$Y381,"BREACH","On Track"))))</f>
        <v/>
      </c>
      <c r="AA381" s="25" t="str">
        <f aca="false">IF($K381="","",IFERROR(INDEX(Lists!$E$4:$E$14,MATCH($K381,Lists!$A$4:$A$14,0)),""))</f>
        <v/>
      </c>
      <c r="AB381" s="27" t="str">
        <f aca="false">IF($U381&lt;&gt;"",$U381,IF(OR($T381="",$M381&lt;&gt;"Active"),"",$T381+N($R381)))</f>
        <v/>
      </c>
      <c r="AC381" s="25" t="str">
        <f aca="false">IF(OR($T381="",$J381=""),"",$T381-$J381)</f>
        <v/>
      </c>
      <c r="AD381" s="25" t="str">
        <f aca="false">IF(AND($K381="Joined",$U381&lt;&gt;"",$J381&lt;&gt;""),$U381-$J381,"")</f>
        <v/>
      </c>
      <c r="AE381" s="25" t="str">
        <f aca="false">IF($K381="","",IF(OR($K381="Rejected",$K381="Withdrawn"),IFERROR(INDEX(Lists!$B$4:$B$14,MATCH($N381,Lists!$A$4:$A$14,0)),1),IFERROR(INDEX(Lists!$B$4:$B$14,MATCH($K381,Lists!$A$4:$A$14,0)),0)))</f>
        <v/>
      </c>
    </row>
    <row r="382" customFormat="false" ht="15" hidden="false" customHeight="false" outlineLevel="0" collapsed="false">
      <c r="A382" s="25" t="str">
        <f aca="false">IF($B382="","","C-"&amp;TEXT(ROW()-1,"0000"))</f>
        <v/>
      </c>
      <c r="B382" s="21"/>
      <c r="C382" s="21"/>
      <c r="D382" s="21"/>
      <c r="E382" s="21"/>
      <c r="F382" s="25" t="str">
        <f aca="false">IF($E382="","",IFERROR(INDEX(Requisitions!$B$2:$B$101,MATCH($E382,Requisitions!$A$2:$A$101,0)),"Unknown Req"))</f>
        <v/>
      </c>
      <c r="G382" s="25" t="str">
        <f aca="false">IF($E382="","",IFERROR(INDEX(Requisitions!$D$2:$D$101,MATCH($E382,Requisitions!$A$2:$A$101,0)),""))</f>
        <v/>
      </c>
      <c r="H382" s="21"/>
      <c r="I382" s="21"/>
      <c r="J382" s="22"/>
      <c r="K382" s="21"/>
      <c r="L382" s="22"/>
      <c r="M382" s="25" t="str">
        <f aca="false">IF($K382="","",IFERROR(INDEX(Lists!$D$4:$D$14,MATCH($K382,Lists!$A$4:$A$14,0)),"Check stage"))</f>
        <v/>
      </c>
      <c r="N382" s="21"/>
      <c r="O382" s="21"/>
      <c r="P382" s="26"/>
      <c r="Q382" s="26"/>
      <c r="R382" s="21"/>
      <c r="S382" s="21"/>
      <c r="T382" s="22"/>
      <c r="U382" s="22"/>
      <c r="V382" s="24" t="str">
        <f aca="false">IF(OR(N($P382)=0,$Q382=""),"",$Q382/$P382-1)</f>
        <v/>
      </c>
      <c r="W382" s="25" t="str">
        <f aca="true">IF($J382="","",IF($M382="Active",TODAY(),IF($U382&lt;&gt;"",$U382,IF($L382&lt;&gt;"",$L382,TODAY())))-$J382)</f>
        <v/>
      </c>
      <c r="X382" s="25" t="str">
        <f aca="true">IF(OR($L382="",$M382&lt;&gt;"Active"),"",TODAY()-$L382)</f>
        <v/>
      </c>
      <c r="Y382" s="25" t="str">
        <f aca="false">IF($M382&lt;&gt;"Active","",INDEX(Lists!$C$4:$C$14,MATCH($K382,Lists!$A$4:$A$14,0)))</f>
        <v/>
      </c>
      <c r="Z382" s="25" t="str">
        <f aca="false">IF($B382="","",IF($M382&lt;&gt;"Active","Closed",IF($X382="","",IF($X382&gt;$Y382,"BREACH","On Track"))))</f>
        <v/>
      </c>
      <c r="AA382" s="25" t="str">
        <f aca="false">IF($K382="","",IFERROR(INDEX(Lists!$E$4:$E$14,MATCH($K382,Lists!$A$4:$A$14,0)),""))</f>
        <v/>
      </c>
      <c r="AB382" s="27" t="str">
        <f aca="false">IF($U382&lt;&gt;"",$U382,IF(OR($T382="",$M382&lt;&gt;"Active"),"",$T382+N($R382)))</f>
        <v/>
      </c>
      <c r="AC382" s="25" t="str">
        <f aca="false">IF(OR($T382="",$J382=""),"",$T382-$J382)</f>
        <v/>
      </c>
      <c r="AD382" s="25" t="str">
        <f aca="false">IF(AND($K382="Joined",$U382&lt;&gt;"",$J382&lt;&gt;""),$U382-$J382,"")</f>
        <v/>
      </c>
      <c r="AE382" s="25" t="str">
        <f aca="false">IF($K382="","",IF(OR($K382="Rejected",$K382="Withdrawn"),IFERROR(INDEX(Lists!$B$4:$B$14,MATCH($N382,Lists!$A$4:$A$14,0)),1),IFERROR(INDEX(Lists!$B$4:$B$14,MATCH($K382,Lists!$A$4:$A$14,0)),0)))</f>
        <v/>
      </c>
    </row>
    <row r="383" customFormat="false" ht="15" hidden="false" customHeight="false" outlineLevel="0" collapsed="false">
      <c r="A383" s="25" t="str">
        <f aca="false">IF($B383="","","C-"&amp;TEXT(ROW()-1,"0000"))</f>
        <v/>
      </c>
      <c r="B383" s="21"/>
      <c r="C383" s="21"/>
      <c r="D383" s="21"/>
      <c r="E383" s="21"/>
      <c r="F383" s="25" t="str">
        <f aca="false">IF($E383="","",IFERROR(INDEX(Requisitions!$B$2:$B$101,MATCH($E383,Requisitions!$A$2:$A$101,0)),"Unknown Req"))</f>
        <v/>
      </c>
      <c r="G383" s="25" t="str">
        <f aca="false">IF($E383="","",IFERROR(INDEX(Requisitions!$D$2:$D$101,MATCH($E383,Requisitions!$A$2:$A$101,0)),""))</f>
        <v/>
      </c>
      <c r="H383" s="21"/>
      <c r="I383" s="21"/>
      <c r="J383" s="22"/>
      <c r="K383" s="21"/>
      <c r="L383" s="22"/>
      <c r="M383" s="25" t="str">
        <f aca="false">IF($K383="","",IFERROR(INDEX(Lists!$D$4:$D$14,MATCH($K383,Lists!$A$4:$A$14,0)),"Check stage"))</f>
        <v/>
      </c>
      <c r="N383" s="21"/>
      <c r="O383" s="21"/>
      <c r="P383" s="26"/>
      <c r="Q383" s="26"/>
      <c r="R383" s="21"/>
      <c r="S383" s="21"/>
      <c r="T383" s="22"/>
      <c r="U383" s="22"/>
      <c r="V383" s="24" t="str">
        <f aca="false">IF(OR(N($P383)=0,$Q383=""),"",$Q383/$P383-1)</f>
        <v/>
      </c>
      <c r="W383" s="25" t="str">
        <f aca="true">IF($J383="","",IF($M383="Active",TODAY(),IF($U383&lt;&gt;"",$U383,IF($L383&lt;&gt;"",$L383,TODAY())))-$J383)</f>
        <v/>
      </c>
      <c r="X383" s="25" t="str">
        <f aca="true">IF(OR($L383="",$M383&lt;&gt;"Active"),"",TODAY()-$L383)</f>
        <v/>
      </c>
      <c r="Y383" s="25" t="str">
        <f aca="false">IF($M383&lt;&gt;"Active","",INDEX(Lists!$C$4:$C$14,MATCH($K383,Lists!$A$4:$A$14,0)))</f>
        <v/>
      </c>
      <c r="Z383" s="25" t="str">
        <f aca="false">IF($B383="","",IF($M383&lt;&gt;"Active","Closed",IF($X383="","",IF($X383&gt;$Y383,"BREACH","On Track"))))</f>
        <v/>
      </c>
      <c r="AA383" s="25" t="str">
        <f aca="false">IF($K383="","",IFERROR(INDEX(Lists!$E$4:$E$14,MATCH($K383,Lists!$A$4:$A$14,0)),""))</f>
        <v/>
      </c>
      <c r="AB383" s="27" t="str">
        <f aca="false">IF($U383&lt;&gt;"",$U383,IF(OR($T383="",$M383&lt;&gt;"Active"),"",$T383+N($R383)))</f>
        <v/>
      </c>
      <c r="AC383" s="25" t="str">
        <f aca="false">IF(OR($T383="",$J383=""),"",$T383-$J383)</f>
        <v/>
      </c>
      <c r="AD383" s="25" t="str">
        <f aca="false">IF(AND($K383="Joined",$U383&lt;&gt;"",$J383&lt;&gt;""),$U383-$J383,"")</f>
        <v/>
      </c>
      <c r="AE383" s="25" t="str">
        <f aca="false">IF($K383="","",IF(OR($K383="Rejected",$K383="Withdrawn"),IFERROR(INDEX(Lists!$B$4:$B$14,MATCH($N383,Lists!$A$4:$A$14,0)),1),IFERROR(INDEX(Lists!$B$4:$B$14,MATCH($K383,Lists!$A$4:$A$14,0)),0)))</f>
        <v/>
      </c>
    </row>
    <row r="384" customFormat="false" ht="15" hidden="false" customHeight="false" outlineLevel="0" collapsed="false">
      <c r="A384" s="25" t="str">
        <f aca="false">IF($B384="","","C-"&amp;TEXT(ROW()-1,"0000"))</f>
        <v/>
      </c>
      <c r="B384" s="21"/>
      <c r="C384" s="21"/>
      <c r="D384" s="21"/>
      <c r="E384" s="21"/>
      <c r="F384" s="25" t="str">
        <f aca="false">IF($E384="","",IFERROR(INDEX(Requisitions!$B$2:$B$101,MATCH($E384,Requisitions!$A$2:$A$101,0)),"Unknown Req"))</f>
        <v/>
      </c>
      <c r="G384" s="25" t="str">
        <f aca="false">IF($E384="","",IFERROR(INDEX(Requisitions!$D$2:$D$101,MATCH($E384,Requisitions!$A$2:$A$101,0)),""))</f>
        <v/>
      </c>
      <c r="H384" s="21"/>
      <c r="I384" s="21"/>
      <c r="J384" s="22"/>
      <c r="K384" s="21"/>
      <c r="L384" s="22"/>
      <c r="M384" s="25" t="str">
        <f aca="false">IF($K384="","",IFERROR(INDEX(Lists!$D$4:$D$14,MATCH($K384,Lists!$A$4:$A$14,0)),"Check stage"))</f>
        <v/>
      </c>
      <c r="N384" s="21"/>
      <c r="O384" s="21"/>
      <c r="P384" s="26"/>
      <c r="Q384" s="26"/>
      <c r="R384" s="21"/>
      <c r="S384" s="21"/>
      <c r="T384" s="22"/>
      <c r="U384" s="22"/>
      <c r="V384" s="24" t="str">
        <f aca="false">IF(OR(N($P384)=0,$Q384=""),"",$Q384/$P384-1)</f>
        <v/>
      </c>
      <c r="W384" s="25" t="str">
        <f aca="true">IF($J384="","",IF($M384="Active",TODAY(),IF($U384&lt;&gt;"",$U384,IF($L384&lt;&gt;"",$L384,TODAY())))-$J384)</f>
        <v/>
      </c>
      <c r="X384" s="25" t="str">
        <f aca="true">IF(OR($L384="",$M384&lt;&gt;"Active"),"",TODAY()-$L384)</f>
        <v/>
      </c>
      <c r="Y384" s="25" t="str">
        <f aca="false">IF($M384&lt;&gt;"Active","",INDEX(Lists!$C$4:$C$14,MATCH($K384,Lists!$A$4:$A$14,0)))</f>
        <v/>
      </c>
      <c r="Z384" s="25" t="str">
        <f aca="false">IF($B384="","",IF($M384&lt;&gt;"Active","Closed",IF($X384="","",IF($X384&gt;$Y384,"BREACH","On Track"))))</f>
        <v/>
      </c>
      <c r="AA384" s="25" t="str">
        <f aca="false">IF($K384="","",IFERROR(INDEX(Lists!$E$4:$E$14,MATCH($K384,Lists!$A$4:$A$14,0)),""))</f>
        <v/>
      </c>
      <c r="AB384" s="27" t="str">
        <f aca="false">IF($U384&lt;&gt;"",$U384,IF(OR($T384="",$M384&lt;&gt;"Active"),"",$T384+N($R384)))</f>
        <v/>
      </c>
      <c r="AC384" s="25" t="str">
        <f aca="false">IF(OR($T384="",$J384=""),"",$T384-$J384)</f>
        <v/>
      </c>
      <c r="AD384" s="25" t="str">
        <f aca="false">IF(AND($K384="Joined",$U384&lt;&gt;"",$J384&lt;&gt;""),$U384-$J384,"")</f>
        <v/>
      </c>
      <c r="AE384" s="25" t="str">
        <f aca="false">IF($K384="","",IF(OR($K384="Rejected",$K384="Withdrawn"),IFERROR(INDEX(Lists!$B$4:$B$14,MATCH($N384,Lists!$A$4:$A$14,0)),1),IFERROR(INDEX(Lists!$B$4:$B$14,MATCH($K384,Lists!$A$4:$A$14,0)),0)))</f>
        <v/>
      </c>
    </row>
    <row r="385" customFormat="false" ht="15" hidden="false" customHeight="false" outlineLevel="0" collapsed="false">
      <c r="A385" s="25" t="str">
        <f aca="false">IF($B385="","","C-"&amp;TEXT(ROW()-1,"0000"))</f>
        <v/>
      </c>
      <c r="B385" s="21"/>
      <c r="C385" s="21"/>
      <c r="D385" s="21"/>
      <c r="E385" s="21"/>
      <c r="F385" s="25" t="str">
        <f aca="false">IF($E385="","",IFERROR(INDEX(Requisitions!$B$2:$B$101,MATCH($E385,Requisitions!$A$2:$A$101,0)),"Unknown Req"))</f>
        <v/>
      </c>
      <c r="G385" s="25" t="str">
        <f aca="false">IF($E385="","",IFERROR(INDEX(Requisitions!$D$2:$D$101,MATCH($E385,Requisitions!$A$2:$A$101,0)),""))</f>
        <v/>
      </c>
      <c r="H385" s="21"/>
      <c r="I385" s="21"/>
      <c r="J385" s="22"/>
      <c r="K385" s="21"/>
      <c r="L385" s="22"/>
      <c r="M385" s="25" t="str">
        <f aca="false">IF($K385="","",IFERROR(INDEX(Lists!$D$4:$D$14,MATCH($K385,Lists!$A$4:$A$14,0)),"Check stage"))</f>
        <v/>
      </c>
      <c r="N385" s="21"/>
      <c r="O385" s="21"/>
      <c r="P385" s="26"/>
      <c r="Q385" s="26"/>
      <c r="R385" s="21"/>
      <c r="S385" s="21"/>
      <c r="T385" s="22"/>
      <c r="U385" s="22"/>
      <c r="V385" s="24" t="str">
        <f aca="false">IF(OR(N($P385)=0,$Q385=""),"",$Q385/$P385-1)</f>
        <v/>
      </c>
      <c r="W385" s="25" t="str">
        <f aca="true">IF($J385="","",IF($M385="Active",TODAY(),IF($U385&lt;&gt;"",$U385,IF($L385&lt;&gt;"",$L385,TODAY())))-$J385)</f>
        <v/>
      </c>
      <c r="X385" s="25" t="str">
        <f aca="true">IF(OR($L385="",$M385&lt;&gt;"Active"),"",TODAY()-$L385)</f>
        <v/>
      </c>
      <c r="Y385" s="25" t="str">
        <f aca="false">IF($M385&lt;&gt;"Active","",INDEX(Lists!$C$4:$C$14,MATCH($K385,Lists!$A$4:$A$14,0)))</f>
        <v/>
      </c>
      <c r="Z385" s="25" t="str">
        <f aca="false">IF($B385="","",IF($M385&lt;&gt;"Active","Closed",IF($X385="","",IF($X385&gt;$Y385,"BREACH","On Track"))))</f>
        <v/>
      </c>
      <c r="AA385" s="25" t="str">
        <f aca="false">IF($K385="","",IFERROR(INDEX(Lists!$E$4:$E$14,MATCH($K385,Lists!$A$4:$A$14,0)),""))</f>
        <v/>
      </c>
      <c r="AB385" s="27" t="str">
        <f aca="false">IF($U385&lt;&gt;"",$U385,IF(OR($T385="",$M385&lt;&gt;"Active"),"",$T385+N($R385)))</f>
        <v/>
      </c>
      <c r="AC385" s="25" t="str">
        <f aca="false">IF(OR($T385="",$J385=""),"",$T385-$J385)</f>
        <v/>
      </c>
      <c r="AD385" s="25" t="str">
        <f aca="false">IF(AND($K385="Joined",$U385&lt;&gt;"",$J385&lt;&gt;""),$U385-$J385,"")</f>
        <v/>
      </c>
      <c r="AE385" s="25" t="str">
        <f aca="false">IF($K385="","",IF(OR($K385="Rejected",$K385="Withdrawn"),IFERROR(INDEX(Lists!$B$4:$B$14,MATCH($N385,Lists!$A$4:$A$14,0)),1),IFERROR(INDEX(Lists!$B$4:$B$14,MATCH($K385,Lists!$A$4:$A$14,0)),0)))</f>
        <v/>
      </c>
    </row>
    <row r="386" customFormat="false" ht="15" hidden="false" customHeight="false" outlineLevel="0" collapsed="false">
      <c r="A386" s="25" t="str">
        <f aca="false">IF($B386="","","C-"&amp;TEXT(ROW()-1,"0000"))</f>
        <v/>
      </c>
      <c r="B386" s="21"/>
      <c r="C386" s="21"/>
      <c r="D386" s="21"/>
      <c r="E386" s="21"/>
      <c r="F386" s="25" t="str">
        <f aca="false">IF($E386="","",IFERROR(INDEX(Requisitions!$B$2:$B$101,MATCH($E386,Requisitions!$A$2:$A$101,0)),"Unknown Req"))</f>
        <v/>
      </c>
      <c r="G386" s="25" t="str">
        <f aca="false">IF($E386="","",IFERROR(INDEX(Requisitions!$D$2:$D$101,MATCH($E386,Requisitions!$A$2:$A$101,0)),""))</f>
        <v/>
      </c>
      <c r="H386" s="21"/>
      <c r="I386" s="21"/>
      <c r="J386" s="22"/>
      <c r="K386" s="21"/>
      <c r="L386" s="22"/>
      <c r="M386" s="25" t="str">
        <f aca="false">IF($K386="","",IFERROR(INDEX(Lists!$D$4:$D$14,MATCH($K386,Lists!$A$4:$A$14,0)),"Check stage"))</f>
        <v/>
      </c>
      <c r="N386" s="21"/>
      <c r="O386" s="21"/>
      <c r="P386" s="26"/>
      <c r="Q386" s="26"/>
      <c r="R386" s="21"/>
      <c r="S386" s="21"/>
      <c r="T386" s="22"/>
      <c r="U386" s="22"/>
      <c r="V386" s="24" t="str">
        <f aca="false">IF(OR(N($P386)=0,$Q386=""),"",$Q386/$P386-1)</f>
        <v/>
      </c>
      <c r="W386" s="25" t="str">
        <f aca="true">IF($J386="","",IF($M386="Active",TODAY(),IF($U386&lt;&gt;"",$U386,IF($L386&lt;&gt;"",$L386,TODAY())))-$J386)</f>
        <v/>
      </c>
      <c r="X386" s="25" t="str">
        <f aca="true">IF(OR($L386="",$M386&lt;&gt;"Active"),"",TODAY()-$L386)</f>
        <v/>
      </c>
      <c r="Y386" s="25" t="str">
        <f aca="false">IF($M386&lt;&gt;"Active","",INDEX(Lists!$C$4:$C$14,MATCH($K386,Lists!$A$4:$A$14,0)))</f>
        <v/>
      </c>
      <c r="Z386" s="25" t="str">
        <f aca="false">IF($B386="","",IF($M386&lt;&gt;"Active","Closed",IF($X386="","",IF($X386&gt;$Y386,"BREACH","On Track"))))</f>
        <v/>
      </c>
      <c r="AA386" s="25" t="str">
        <f aca="false">IF($K386="","",IFERROR(INDEX(Lists!$E$4:$E$14,MATCH($K386,Lists!$A$4:$A$14,0)),""))</f>
        <v/>
      </c>
      <c r="AB386" s="27" t="str">
        <f aca="false">IF($U386&lt;&gt;"",$U386,IF(OR($T386="",$M386&lt;&gt;"Active"),"",$T386+N($R386)))</f>
        <v/>
      </c>
      <c r="AC386" s="25" t="str">
        <f aca="false">IF(OR($T386="",$J386=""),"",$T386-$J386)</f>
        <v/>
      </c>
      <c r="AD386" s="25" t="str">
        <f aca="false">IF(AND($K386="Joined",$U386&lt;&gt;"",$J386&lt;&gt;""),$U386-$J386,"")</f>
        <v/>
      </c>
      <c r="AE386" s="25" t="str">
        <f aca="false">IF($K386="","",IF(OR($K386="Rejected",$K386="Withdrawn"),IFERROR(INDEX(Lists!$B$4:$B$14,MATCH($N386,Lists!$A$4:$A$14,0)),1),IFERROR(INDEX(Lists!$B$4:$B$14,MATCH($K386,Lists!$A$4:$A$14,0)),0)))</f>
        <v/>
      </c>
    </row>
    <row r="387" customFormat="false" ht="15" hidden="false" customHeight="false" outlineLevel="0" collapsed="false">
      <c r="A387" s="25" t="str">
        <f aca="false">IF($B387="","","C-"&amp;TEXT(ROW()-1,"0000"))</f>
        <v/>
      </c>
      <c r="B387" s="21"/>
      <c r="C387" s="21"/>
      <c r="D387" s="21"/>
      <c r="E387" s="21"/>
      <c r="F387" s="25" t="str">
        <f aca="false">IF($E387="","",IFERROR(INDEX(Requisitions!$B$2:$B$101,MATCH($E387,Requisitions!$A$2:$A$101,0)),"Unknown Req"))</f>
        <v/>
      </c>
      <c r="G387" s="25" t="str">
        <f aca="false">IF($E387="","",IFERROR(INDEX(Requisitions!$D$2:$D$101,MATCH($E387,Requisitions!$A$2:$A$101,0)),""))</f>
        <v/>
      </c>
      <c r="H387" s="21"/>
      <c r="I387" s="21"/>
      <c r="J387" s="22"/>
      <c r="K387" s="21"/>
      <c r="L387" s="22"/>
      <c r="M387" s="25" t="str">
        <f aca="false">IF($K387="","",IFERROR(INDEX(Lists!$D$4:$D$14,MATCH($K387,Lists!$A$4:$A$14,0)),"Check stage"))</f>
        <v/>
      </c>
      <c r="N387" s="21"/>
      <c r="O387" s="21"/>
      <c r="P387" s="26"/>
      <c r="Q387" s="26"/>
      <c r="R387" s="21"/>
      <c r="S387" s="21"/>
      <c r="T387" s="22"/>
      <c r="U387" s="22"/>
      <c r="V387" s="24" t="str">
        <f aca="false">IF(OR(N($P387)=0,$Q387=""),"",$Q387/$P387-1)</f>
        <v/>
      </c>
      <c r="W387" s="25" t="str">
        <f aca="true">IF($J387="","",IF($M387="Active",TODAY(),IF($U387&lt;&gt;"",$U387,IF($L387&lt;&gt;"",$L387,TODAY())))-$J387)</f>
        <v/>
      </c>
      <c r="X387" s="25" t="str">
        <f aca="true">IF(OR($L387="",$M387&lt;&gt;"Active"),"",TODAY()-$L387)</f>
        <v/>
      </c>
      <c r="Y387" s="25" t="str">
        <f aca="false">IF($M387&lt;&gt;"Active","",INDEX(Lists!$C$4:$C$14,MATCH($K387,Lists!$A$4:$A$14,0)))</f>
        <v/>
      </c>
      <c r="Z387" s="25" t="str">
        <f aca="false">IF($B387="","",IF($M387&lt;&gt;"Active","Closed",IF($X387="","",IF($X387&gt;$Y387,"BREACH","On Track"))))</f>
        <v/>
      </c>
      <c r="AA387" s="25" t="str">
        <f aca="false">IF($K387="","",IFERROR(INDEX(Lists!$E$4:$E$14,MATCH($K387,Lists!$A$4:$A$14,0)),""))</f>
        <v/>
      </c>
      <c r="AB387" s="27" t="str">
        <f aca="false">IF($U387&lt;&gt;"",$U387,IF(OR($T387="",$M387&lt;&gt;"Active"),"",$T387+N($R387)))</f>
        <v/>
      </c>
      <c r="AC387" s="25" t="str">
        <f aca="false">IF(OR($T387="",$J387=""),"",$T387-$J387)</f>
        <v/>
      </c>
      <c r="AD387" s="25" t="str">
        <f aca="false">IF(AND($K387="Joined",$U387&lt;&gt;"",$J387&lt;&gt;""),$U387-$J387,"")</f>
        <v/>
      </c>
      <c r="AE387" s="25" t="str">
        <f aca="false">IF($K387="","",IF(OR($K387="Rejected",$K387="Withdrawn"),IFERROR(INDEX(Lists!$B$4:$B$14,MATCH($N387,Lists!$A$4:$A$14,0)),1),IFERROR(INDEX(Lists!$B$4:$B$14,MATCH($K387,Lists!$A$4:$A$14,0)),0)))</f>
        <v/>
      </c>
    </row>
    <row r="388" customFormat="false" ht="15" hidden="false" customHeight="false" outlineLevel="0" collapsed="false">
      <c r="A388" s="25" t="str">
        <f aca="false">IF($B388="","","C-"&amp;TEXT(ROW()-1,"0000"))</f>
        <v/>
      </c>
      <c r="B388" s="21"/>
      <c r="C388" s="21"/>
      <c r="D388" s="21"/>
      <c r="E388" s="21"/>
      <c r="F388" s="25" t="str">
        <f aca="false">IF($E388="","",IFERROR(INDEX(Requisitions!$B$2:$B$101,MATCH($E388,Requisitions!$A$2:$A$101,0)),"Unknown Req"))</f>
        <v/>
      </c>
      <c r="G388" s="25" t="str">
        <f aca="false">IF($E388="","",IFERROR(INDEX(Requisitions!$D$2:$D$101,MATCH($E388,Requisitions!$A$2:$A$101,0)),""))</f>
        <v/>
      </c>
      <c r="H388" s="21"/>
      <c r="I388" s="21"/>
      <c r="J388" s="22"/>
      <c r="K388" s="21"/>
      <c r="L388" s="22"/>
      <c r="M388" s="25" t="str">
        <f aca="false">IF($K388="","",IFERROR(INDEX(Lists!$D$4:$D$14,MATCH($K388,Lists!$A$4:$A$14,0)),"Check stage"))</f>
        <v/>
      </c>
      <c r="N388" s="21"/>
      <c r="O388" s="21"/>
      <c r="P388" s="26"/>
      <c r="Q388" s="26"/>
      <c r="R388" s="21"/>
      <c r="S388" s="21"/>
      <c r="T388" s="22"/>
      <c r="U388" s="22"/>
      <c r="V388" s="24" t="str">
        <f aca="false">IF(OR(N($P388)=0,$Q388=""),"",$Q388/$P388-1)</f>
        <v/>
      </c>
      <c r="W388" s="25" t="str">
        <f aca="true">IF($J388="","",IF($M388="Active",TODAY(),IF($U388&lt;&gt;"",$U388,IF($L388&lt;&gt;"",$L388,TODAY())))-$J388)</f>
        <v/>
      </c>
      <c r="X388" s="25" t="str">
        <f aca="true">IF(OR($L388="",$M388&lt;&gt;"Active"),"",TODAY()-$L388)</f>
        <v/>
      </c>
      <c r="Y388" s="25" t="str">
        <f aca="false">IF($M388&lt;&gt;"Active","",INDEX(Lists!$C$4:$C$14,MATCH($K388,Lists!$A$4:$A$14,0)))</f>
        <v/>
      </c>
      <c r="Z388" s="25" t="str">
        <f aca="false">IF($B388="","",IF($M388&lt;&gt;"Active","Closed",IF($X388="","",IF($X388&gt;$Y388,"BREACH","On Track"))))</f>
        <v/>
      </c>
      <c r="AA388" s="25" t="str">
        <f aca="false">IF($K388="","",IFERROR(INDEX(Lists!$E$4:$E$14,MATCH($K388,Lists!$A$4:$A$14,0)),""))</f>
        <v/>
      </c>
      <c r="AB388" s="27" t="str">
        <f aca="false">IF($U388&lt;&gt;"",$U388,IF(OR($T388="",$M388&lt;&gt;"Active"),"",$T388+N($R388)))</f>
        <v/>
      </c>
      <c r="AC388" s="25" t="str">
        <f aca="false">IF(OR($T388="",$J388=""),"",$T388-$J388)</f>
        <v/>
      </c>
      <c r="AD388" s="25" t="str">
        <f aca="false">IF(AND($K388="Joined",$U388&lt;&gt;"",$J388&lt;&gt;""),$U388-$J388,"")</f>
        <v/>
      </c>
      <c r="AE388" s="25" t="str">
        <f aca="false">IF($K388="","",IF(OR($K388="Rejected",$K388="Withdrawn"),IFERROR(INDEX(Lists!$B$4:$B$14,MATCH($N388,Lists!$A$4:$A$14,0)),1),IFERROR(INDEX(Lists!$B$4:$B$14,MATCH($K388,Lists!$A$4:$A$14,0)),0)))</f>
        <v/>
      </c>
    </row>
    <row r="389" customFormat="false" ht="15" hidden="false" customHeight="false" outlineLevel="0" collapsed="false">
      <c r="A389" s="25" t="str">
        <f aca="false">IF($B389="","","C-"&amp;TEXT(ROW()-1,"0000"))</f>
        <v/>
      </c>
      <c r="B389" s="21"/>
      <c r="C389" s="21"/>
      <c r="D389" s="21"/>
      <c r="E389" s="21"/>
      <c r="F389" s="25" t="str">
        <f aca="false">IF($E389="","",IFERROR(INDEX(Requisitions!$B$2:$B$101,MATCH($E389,Requisitions!$A$2:$A$101,0)),"Unknown Req"))</f>
        <v/>
      </c>
      <c r="G389" s="25" t="str">
        <f aca="false">IF($E389="","",IFERROR(INDEX(Requisitions!$D$2:$D$101,MATCH($E389,Requisitions!$A$2:$A$101,0)),""))</f>
        <v/>
      </c>
      <c r="H389" s="21"/>
      <c r="I389" s="21"/>
      <c r="J389" s="22"/>
      <c r="K389" s="21"/>
      <c r="L389" s="22"/>
      <c r="M389" s="25" t="str">
        <f aca="false">IF($K389="","",IFERROR(INDEX(Lists!$D$4:$D$14,MATCH($K389,Lists!$A$4:$A$14,0)),"Check stage"))</f>
        <v/>
      </c>
      <c r="N389" s="21"/>
      <c r="O389" s="21"/>
      <c r="P389" s="26"/>
      <c r="Q389" s="26"/>
      <c r="R389" s="21"/>
      <c r="S389" s="21"/>
      <c r="T389" s="22"/>
      <c r="U389" s="22"/>
      <c r="V389" s="24" t="str">
        <f aca="false">IF(OR(N($P389)=0,$Q389=""),"",$Q389/$P389-1)</f>
        <v/>
      </c>
      <c r="W389" s="25" t="str">
        <f aca="true">IF($J389="","",IF($M389="Active",TODAY(),IF($U389&lt;&gt;"",$U389,IF($L389&lt;&gt;"",$L389,TODAY())))-$J389)</f>
        <v/>
      </c>
      <c r="X389" s="25" t="str">
        <f aca="true">IF(OR($L389="",$M389&lt;&gt;"Active"),"",TODAY()-$L389)</f>
        <v/>
      </c>
      <c r="Y389" s="25" t="str">
        <f aca="false">IF($M389&lt;&gt;"Active","",INDEX(Lists!$C$4:$C$14,MATCH($K389,Lists!$A$4:$A$14,0)))</f>
        <v/>
      </c>
      <c r="Z389" s="25" t="str">
        <f aca="false">IF($B389="","",IF($M389&lt;&gt;"Active","Closed",IF($X389="","",IF($X389&gt;$Y389,"BREACH","On Track"))))</f>
        <v/>
      </c>
      <c r="AA389" s="25" t="str">
        <f aca="false">IF($K389="","",IFERROR(INDEX(Lists!$E$4:$E$14,MATCH($K389,Lists!$A$4:$A$14,0)),""))</f>
        <v/>
      </c>
      <c r="AB389" s="27" t="str">
        <f aca="false">IF($U389&lt;&gt;"",$U389,IF(OR($T389="",$M389&lt;&gt;"Active"),"",$T389+N($R389)))</f>
        <v/>
      </c>
      <c r="AC389" s="25" t="str">
        <f aca="false">IF(OR($T389="",$J389=""),"",$T389-$J389)</f>
        <v/>
      </c>
      <c r="AD389" s="25" t="str">
        <f aca="false">IF(AND($K389="Joined",$U389&lt;&gt;"",$J389&lt;&gt;""),$U389-$J389,"")</f>
        <v/>
      </c>
      <c r="AE389" s="25" t="str">
        <f aca="false">IF($K389="","",IF(OR($K389="Rejected",$K389="Withdrawn"),IFERROR(INDEX(Lists!$B$4:$B$14,MATCH($N389,Lists!$A$4:$A$14,0)),1),IFERROR(INDEX(Lists!$B$4:$B$14,MATCH($K389,Lists!$A$4:$A$14,0)),0)))</f>
        <v/>
      </c>
    </row>
    <row r="390" customFormat="false" ht="15" hidden="false" customHeight="false" outlineLevel="0" collapsed="false">
      <c r="A390" s="25" t="str">
        <f aca="false">IF($B390="","","C-"&amp;TEXT(ROW()-1,"0000"))</f>
        <v/>
      </c>
      <c r="B390" s="21"/>
      <c r="C390" s="21"/>
      <c r="D390" s="21"/>
      <c r="E390" s="21"/>
      <c r="F390" s="25" t="str">
        <f aca="false">IF($E390="","",IFERROR(INDEX(Requisitions!$B$2:$B$101,MATCH($E390,Requisitions!$A$2:$A$101,0)),"Unknown Req"))</f>
        <v/>
      </c>
      <c r="G390" s="25" t="str">
        <f aca="false">IF($E390="","",IFERROR(INDEX(Requisitions!$D$2:$D$101,MATCH($E390,Requisitions!$A$2:$A$101,0)),""))</f>
        <v/>
      </c>
      <c r="H390" s="21"/>
      <c r="I390" s="21"/>
      <c r="J390" s="22"/>
      <c r="K390" s="21"/>
      <c r="L390" s="22"/>
      <c r="M390" s="25" t="str">
        <f aca="false">IF($K390="","",IFERROR(INDEX(Lists!$D$4:$D$14,MATCH($K390,Lists!$A$4:$A$14,0)),"Check stage"))</f>
        <v/>
      </c>
      <c r="N390" s="21"/>
      <c r="O390" s="21"/>
      <c r="P390" s="26"/>
      <c r="Q390" s="26"/>
      <c r="R390" s="21"/>
      <c r="S390" s="21"/>
      <c r="T390" s="22"/>
      <c r="U390" s="22"/>
      <c r="V390" s="24" t="str">
        <f aca="false">IF(OR(N($P390)=0,$Q390=""),"",$Q390/$P390-1)</f>
        <v/>
      </c>
      <c r="W390" s="25" t="str">
        <f aca="true">IF($J390="","",IF($M390="Active",TODAY(),IF($U390&lt;&gt;"",$U390,IF($L390&lt;&gt;"",$L390,TODAY())))-$J390)</f>
        <v/>
      </c>
      <c r="X390" s="25" t="str">
        <f aca="true">IF(OR($L390="",$M390&lt;&gt;"Active"),"",TODAY()-$L390)</f>
        <v/>
      </c>
      <c r="Y390" s="25" t="str">
        <f aca="false">IF($M390&lt;&gt;"Active","",INDEX(Lists!$C$4:$C$14,MATCH($K390,Lists!$A$4:$A$14,0)))</f>
        <v/>
      </c>
      <c r="Z390" s="25" t="str">
        <f aca="false">IF($B390="","",IF($M390&lt;&gt;"Active","Closed",IF($X390="","",IF($X390&gt;$Y390,"BREACH","On Track"))))</f>
        <v/>
      </c>
      <c r="AA390" s="25" t="str">
        <f aca="false">IF($K390="","",IFERROR(INDEX(Lists!$E$4:$E$14,MATCH($K390,Lists!$A$4:$A$14,0)),""))</f>
        <v/>
      </c>
      <c r="AB390" s="27" t="str">
        <f aca="false">IF($U390&lt;&gt;"",$U390,IF(OR($T390="",$M390&lt;&gt;"Active"),"",$T390+N($R390)))</f>
        <v/>
      </c>
      <c r="AC390" s="25" t="str">
        <f aca="false">IF(OR($T390="",$J390=""),"",$T390-$J390)</f>
        <v/>
      </c>
      <c r="AD390" s="25" t="str">
        <f aca="false">IF(AND($K390="Joined",$U390&lt;&gt;"",$J390&lt;&gt;""),$U390-$J390,"")</f>
        <v/>
      </c>
      <c r="AE390" s="25" t="str">
        <f aca="false">IF($K390="","",IF(OR($K390="Rejected",$K390="Withdrawn"),IFERROR(INDEX(Lists!$B$4:$B$14,MATCH($N390,Lists!$A$4:$A$14,0)),1),IFERROR(INDEX(Lists!$B$4:$B$14,MATCH($K390,Lists!$A$4:$A$14,0)),0)))</f>
        <v/>
      </c>
    </row>
    <row r="391" customFormat="false" ht="15" hidden="false" customHeight="false" outlineLevel="0" collapsed="false">
      <c r="A391" s="25" t="str">
        <f aca="false">IF($B391="","","C-"&amp;TEXT(ROW()-1,"0000"))</f>
        <v/>
      </c>
      <c r="B391" s="21"/>
      <c r="C391" s="21"/>
      <c r="D391" s="21"/>
      <c r="E391" s="21"/>
      <c r="F391" s="25" t="str">
        <f aca="false">IF($E391="","",IFERROR(INDEX(Requisitions!$B$2:$B$101,MATCH($E391,Requisitions!$A$2:$A$101,0)),"Unknown Req"))</f>
        <v/>
      </c>
      <c r="G391" s="25" t="str">
        <f aca="false">IF($E391="","",IFERROR(INDEX(Requisitions!$D$2:$D$101,MATCH($E391,Requisitions!$A$2:$A$101,0)),""))</f>
        <v/>
      </c>
      <c r="H391" s="21"/>
      <c r="I391" s="21"/>
      <c r="J391" s="22"/>
      <c r="K391" s="21"/>
      <c r="L391" s="22"/>
      <c r="M391" s="25" t="str">
        <f aca="false">IF($K391="","",IFERROR(INDEX(Lists!$D$4:$D$14,MATCH($K391,Lists!$A$4:$A$14,0)),"Check stage"))</f>
        <v/>
      </c>
      <c r="N391" s="21"/>
      <c r="O391" s="21"/>
      <c r="P391" s="26"/>
      <c r="Q391" s="26"/>
      <c r="R391" s="21"/>
      <c r="S391" s="21"/>
      <c r="T391" s="22"/>
      <c r="U391" s="22"/>
      <c r="V391" s="24" t="str">
        <f aca="false">IF(OR(N($P391)=0,$Q391=""),"",$Q391/$P391-1)</f>
        <v/>
      </c>
      <c r="W391" s="25" t="str">
        <f aca="true">IF($J391="","",IF($M391="Active",TODAY(),IF($U391&lt;&gt;"",$U391,IF($L391&lt;&gt;"",$L391,TODAY())))-$J391)</f>
        <v/>
      </c>
      <c r="X391" s="25" t="str">
        <f aca="true">IF(OR($L391="",$M391&lt;&gt;"Active"),"",TODAY()-$L391)</f>
        <v/>
      </c>
      <c r="Y391" s="25" t="str">
        <f aca="false">IF($M391&lt;&gt;"Active","",INDEX(Lists!$C$4:$C$14,MATCH($K391,Lists!$A$4:$A$14,0)))</f>
        <v/>
      </c>
      <c r="Z391" s="25" t="str">
        <f aca="false">IF($B391="","",IF($M391&lt;&gt;"Active","Closed",IF($X391="","",IF($X391&gt;$Y391,"BREACH","On Track"))))</f>
        <v/>
      </c>
      <c r="AA391" s="25" t="str">
        <f aca="false">IF($K391="","",IFERROR(INDEX(Lists!$E$4:$E$14,MATCH($K391,Lists!$A$4:$A$14,0)),""))</f>
        <v/>
      </c>
      <c r="AB391" s="27" t="str">
        <f aca="false">IF($U391&lt;&gt;"",$U391,IF(OR($T391="",$M391&lt;&gt;"Active"),"",$T391+N($R391)))</f>
        <v/>
      </c>
      <c r="AC391" s="25" t="str">
        <f aca="false">IF(OR($T391="",$J391=""),"",$T391-$J391)</f>
        <v/>
      </c>
      <c r="AD391" s="25" t="str">
        <f aca="false">IF(AND($K391="Joined",$U391&lt;&gt;"",$J391&lt;&gt;""),$U391-$J391,"")</f>
        <v/>
      </c>
      <c r="AE391" s="25" t="str">
        <f aca="false">IF($K391="","",IF(OR($K391="Rejected",$K391="Withdrawn"),IFERROR(INDEX(Lists!$B$4:$B$14,MATCH($N391,Lists!$A$4:$A$14,0)),1),IFERROR(INDEX(Lists!$B$4:$B$14,MATCH($K391,Lists!$A$4:$A$14,0)),0)))</f>
        <v/>
      </c>
    </row>
    <row r="392" customFormat="false" ht="15" hidden="false" customHeight="false" outlineLevel="0" collapsed="false">
      <c r="A392" s="25" t="str">
        <f aca="false">IF($B392="","","C-"&amp;TEXT(ROW()-1,"0000"))</f>
        <v/>
      </c>
      <c r="B392" s="21"/>
      <c r="C392" s="21"/>
      <c r="D392" s="21"/>
      <c r="E392" s="21"/>
      <c r="F392" s="25" t="str">
        <f aca="false">IF($E392="","",IFERROR(INDEX(Requisitions!$B$2:$B$101,MATCH($E392,Requisitions!$A$2:$A$101,0)),"Unknown Req"))</f>
        <v/>
      </c>
      <c r="G392" s="25" t="str">
        <f aca="false">IF($E392="","",IFERROR(INDEX(Requisitions!$D$2:$D$101,MATCH($E392,Requisitions!$A$2:$A$101,0)),""))</f>
        <v/>
      </c>
      <c r="H392" s="21"/>
      <c r="I392" s="21"/>
      <c r="J392" s="22"/>
      <c r="K392" s="21"/>
      <c r="L392" s="22"/>
      <c r="M392" s="25" t="str">
        <f aca="false">IF($K392="","",IFERROR(INDEX(Lists!$D$4:$D$14,MATCH($K392,Lists!$A$4:$A$14,0)),"Check stage"))</f>
        <v/>
      </c>
      <c r="N392" s="21"/>
      <c r="O392" s="21"/>
      <c r="P392" s="26"/>
      <c r="Q392" s="26"/>
      <c r="R392" s="21"/>
      <c r="S392" s="21"/>
      <c r="T392" s="22"/>
      <c r="U392" s="22"/>
      <c r="V392" s="24" t="str">
        <f aca="false">IF(OR(N($P392)=0,$Q392=""),"",$Q392/$P392-1)</f>
        <v/>
      </c>
      <c r="W392" s="25" t="str">
        <f aca="true">IF($J392="","",IF($M392="Active",TODAY(),IF($U392&lt;&gt;"",$U392,IF($L392&lt;&gt;"",$L392,TODAY())))-$J392)</f>
        <v/>
      </c>
      <c r="X392" s="25" t="str">
        <f aca="true">IF(OR($L392="",$M392&lt;&gt;"Active"),"",TODAY()-$L392)</f>
        <v/>
      </c>
      <c r="Y392" s="25" t="str">
        <f aca="false">IF($M392&lt;&gt;"Active","",INDEX(Lists!$C$4:$C$14,MATCH($K392,Lists!$A$4:$A$14,0)))</f>
        <v/>
      </c>
      <c r="Z392" s="25" t="str">
        <f aca="false">IF($B392="","",IF($M392&lt;&gt;"Active","Closed",IF($X392="","",IF($X392&gt;$Y392,"BREACH","On Track"))))</f>
        <v/>
      </c>
      <c r="AA392" s="25" t="str">
        <f aca="false">IF($K392="","",IFERROR(INDEX(Lists!$E$4:$E$14,MATCH($K392,Lists!$A$4:$A$14,0)),""))</f>
        <v/>
      </c>
      <c r="AB392" s="27" t="str">
        <f aca="false">IF($U392&lt;&gt;"",$U392,IF(OR($T392="",$M392&lt;&gt;"Active"),"",$T392+N($R392)))</f>
        <v/>
      </c>
      <c r="AC392" s="25" t="str">
        <f aca="false">IF(OR($T392="",$J392=""),"",$T392-$J392)</f>
        <v/>
      </c>
      <c r="AD392" s="25" t="str">
        <f aca="false">IF(AND($K392="Joined",$U392&lt;&gt;"",$J392&lt;&gt;""),$U392-$J392,"")</f>
        <v/>
      </c>
      <c r="AE392" s="25" t="str">
        <f aca="false">IF($K392="","",IF(OR($K392="Rejected",$K392="Withdrawn"),IFERROR(INDEX(Lists!$B$4:$B$14,MATCH($N392,Lists!$A$4:$A$14,0)),1),IFERROR(INDEX(Lists!$B$4:$B$14,MATCH($K392,Lists!$A$4:$A$14,0)),0)))</f>
        <v/>
      </c>
    </row>
    <row r="393" customFormat="false" ht="15" hidden="false" customHeight="false" outlineLevel="0" collapsed="false">
      <c r="A393" s="25" t="str">
        <f aca="false">IF($B393="","","C-"&amp;TEXT(ROW()-1,"0000"))</f>
        <v/>
      </c>
      <c r="B393" s="21"/>
      <c r="C393" s="21"/>
      <c r="D393" s="21"/>
      <c r="E393" s="21"/>
      <c r="F393" s="25" t="str">
        <f aca="false">IF($E393="","",IFERROR(INDEX(Requisitions!$B$2:$B$101,MATCH($E393,Requisitions!$A$2:$A$101,0)),"Unknown Req"))</f>
        <v/>
      </c>
      <c r="G393" s="25" t="str">
        <f aca="false">IF($E393="","",IFERROR(INDEX(Requisitions!$D$2:$D$101,MATCH($E393,Requisitions!$A$2:$A$101,0)),""))</f>
        <v/>
      </c>
      <c r="H393" s="21"/>
      <c r="I393" s="21"/>
      <c r="J393" s="22"/>
      <c r="K393" s="21"/>
      <c r="L393" s="22"/>
      <c r="M393" s="25" t="str">
        <f aca="false">IF($K393="","",IFERROR(INDEX(Lists!$D$4:$D$14,MATCH($K393,Lists!$A$4:$A$14,0)),"Check stage"))</f>
        <v/>
      </c>
      <c r="N393" s="21"/>
      <c r="O393" s="21"/>
      <c r="P393" s="26"/>
      <c r="Q393" s="26"/>
      <c r="R393" s="21"/>
      <c r="S393" s="21"/>
      <c r="T393" s="22"/>
      <c r="U393" s="22"/>
      <c r="V393" s="24" t="str">
        <f aca="false">IF(OR(N($P393)=0,$Q393=""),"",$Q393/$P393-1)</f>
        <v/>
      </c>
      <c r="W393" s="25" t="str">
        <f aca="true">IF($J393="","",IF($M393="Active",TODAY(),IF($U393&lt;&gt;"",$U393,IF($L393&lt;&gt;"",$L393,TODAY())))-$J393)</f>
        <v/>
      </c>
      <c r="X393" s="25" t="str">
        <f aca="true">IF(OR($L393="",$M393&lt;&gt;"Active"),"",TODAY()-$L393)</f>
        <v/>
      </c>
      <c r="Y393" s="25" t="str">
        <f aca="false">IF($M393&lt;&gt;"Active","",INDEX(Lists!$C$4:$C$14,MATCH($K393,Lists!$A$4:$A$14,0)))</f>
        <v/>
      </c>
      <c r="Z393" s="25" t="str">
        <f aca="false">IF($B393="","",IF($M393&lt;&gt;"Active","Closed",IF($X393="","",IF($X393&gt;$Y393,"BREACH","On Track"))))</f>
        <v/>
      </c>
      <c r="AA393" s="25" t="str">
        <f aca="false">IF($K393="","",IFERROR(INDEX(Lists!$E$4:$E$14,MATCH($K393,Lists!$A$4:$A$14,0)),""))</f>
        <v/>
      </c>
      <c r="AB393" s="27" t="str">
        <f aca="false">IF($U393&lt;&gt;"",$U393,IF(OR($T393="",$M393&lt;&gt;"Active"),"",$T393+N($R393)))</f>
        <v/>
      </c>
      <c r="AC393" s="25" t="str">
        <f aca="false">IF(OR($T393="",$J393=""),"",$T393-$J393)</f>
        <v/>
      </c>
      <c r="AD393" s="25" t="str">
        <f aca="false">IF(AND($K393="Joined",$U393&lt;&gt;"",$J393&lt;&gt;""),$U393-$J393,"")</f>
        <v/>
      </c>
      <c r="AE393" s="25" t="str">
        <f aca="false">IF($K393="","",IF(OR($K393="Rejected",$K393="Withdrawn"),IFERROR(INDEX(Lists!$B$4:$B$14,MATCH($N393,Lists!$A$4:$A$14,0)),1),IFERROR(INDEX(Lists!$B$4:$B$14,MATCH($K393,Lists!$A$4:$A$14,0)),0)))</f>
        <v/>
      </c>
    </row>
    <row r="394" customFormat="false" ht="15" hidden="false" customHeight="false" outlineLevel="0" collapsed="false">
      <c r="A394" s="25" t="str">
        <f aca="false">IF($B394="","","C-"&amp;TEXT(ROW()-1,"0000"))</f>
        <v/>
      </c>
      <c r="B394" s="21"/>
      <c r="C394" s="21"/>
      <c r="D394" s="21"/>
      <c r="E394" s="21"/>
      <c r="F394" s="25" t="str">
        <f aca="false">IF($E394="","",IFERROR(INDEX(Requisitions!$B$2:$B$101,MATCH($E394,Requisitions!$A$2:$A$101,0)),"Unknown Req"))</f>
        <v/>
      </c>
      <c r="G394" s="25" t="str">
        <f aca="false">IF($E394="","",IFERROR(INDEX(Requisitions!$D$2:$D$101,MATCH($E394,Requisitions!$A$2:$A$101,0)),""))</f>
        <v/>
      </c>
      <c r="H394" s="21"/>
      <c r="I394" s="21"/>
      <c r="J394" s="22"/>
      <c r="K394" s="21"/>
      <c r="L394" s="22"/>
      <c r="M394" s="25" t="str">
        <f aca="false">IF($K394="","",IFERROR(INDEX(Lists!$D$4:$D$14,MATCH($K394,Lists!$A$4:$A$14,0)),"Check stage"))</f>
        <v/>
      </c>
      <c r="N394" s="21"/>
      <c r="O394" s="21"/>
      <c r="P394" s="26"/>
      <c r="Q394" s="26"/>
      <c r="R394" s="21"/>
      <c r="S394" s="21"/>
      <c r="T394" s="22"/>
      <c r="U394" s="22"/>
      <c r="V394" s="24" t="str">
        <f aca="false">IF(OR(N($P394)=0,$Q394=""),"",$Q394/$P394-1)</f>
        <v/>
      </c>
      <c r="W394" s="25" t="str">
        <f aca="true">IF($J394="","",IF($M394="Active",TODAY(),IF($U394&lt;&gt;"",$U394,IF($L394&lt;&gt;"",$L394,TODAY())))-$J394)</f>
        <v/>
      </c>
      <c r="X394" s="25" t="str">
        <f aca="true">IF(OR($L394="",$M394&lt;&gt;"Active"),"",TODAY()-$L394)</f>
        <v/>
      </c>
      <c r="Y394" s="25" t="str">
        <f aca="false">IF($M394&lt;&gt;"Active","",INDEX(Lists!$C$4:$C$14,MATCH($K394,Lists!$A$4:$A$14,0)))</f>
        <v/>
      </c>
      <c r="Z394" s="25" t="str">
        <f aca="false">IF($B394="","",IF($M394&lt;&gt;"Active","Closed",IF($X394="","",IF($X394&gt;$Y394,"BREACH","On Track"))))</f>
        <v/>
      </c>
      <c r="AA394" s="25" t="str">
        <f aca="false">IF($K394="","",IFERROR(INDEX(Lists!$E$4:$E$14,MATCH($K394,Lists!$A$4:$A$14,0)),""))</f>
        <v/>
      </c>
      <c r="AB394" s="27" t="str">
        <f aca="false">IF($U394&lt;&gt;"",$U394,IF(OR($T394="",$M394&lt;&gt;"Active"),"",$T394+N($R394)))</f>
        <v/>
      </c>
      <c r="AC394" s="25" t="str">
        <f aca="false">IF(OR($T394="",$J394=""),"",$T394-$J394)</f>
        <v/>
      </c>
      <c r="AD394" s="25" t="str">
        <f aca="false">IF(AND($K394="Joined",$U394&lt;&gt;"",$J394&lt;&gt;""),$U394-$J394,"")</f>
        <v/>
      </c>
      <c r="AE394" s="25" t="str">
        <f aca="false">IF($K394="","",IF(OR($K394="Rejected",$K394="Withdrawn"),IFERROR(INDEX(Lists!$B$4:$B$14,MATCH($N394,Lists!$A$4:$A$14,0)),1),IFERROR(INDEX(Lists!$B$4:$B$14,MATCH($K394,Lists!$A$4:$A$14,0)),0)))</f>
        <v/>
      </c>
    </row>
    <row r="395" customFormat="false" ht="15" hidden="false" customHeight="false" outlineLevel="0" collapsed="false">
      <c r="A395" s="25" t="str">
        <f aca="false">IF($B395="","","C-"&amp;TEXT(ROW()-1,"0000"))</f>
        <v/>
      </c>
      <c r="B395" s="21"/>
      <c r="C395" s="21"/>
      <c r="D395" s="21"/>
      <c r="E395" s="21"/>
      <c r="F395" s="25" t="str">
        <f aca="false">IF($E395="","",IFERROR(INDEX(Requisitions!$B$2:$B$101,MATCH($E395,Requisitions!$A$2:$A$101,0)),"Unknown Req"))</f>
        <v/>
      </c>
      <c r="G395" s="25" t="str">
        <f aca="false">IF($E395="","",IFERROR(INDEX(Requisitions!$D$2:$D$101,MATCH($E395,Requisitions!$A$2:$A$101,0)),""))</f>
        <v/>
      </c>
      <c r="H395" s="21"/>
      <c r="I395" s="21"/>
      <c r="J395" s="22"/>
      <c r="K395" s="21"/>
      <c r="L395" s="22"/>
      <c r="M395" s="25" t="str">
        <f aca="false">IF($K395="","",IFERROR(INDEX(Lists!$D$4:$D$14,MATCH($K395,Lists!$A$4:$A$14,0)),"Check stage"))</f>
        <v/>
      </c>
      <c r="N395" s="21"/>
      <c r="O395" s="21"/>
      <c r="P395" s="26"/>
      <c r="Q395" s="26"/>
      <c r="R395" s="21"/>
      <c r="S395" s="21"/>
      <c r="T395" s="22"/>
      <c r="U395" s="22"/>
      <c r="V395" s="24" t="str">
        <f aca="false">IF(OR(N($P395)=0,$Q395=""),"",$Q395/$P395-1)</f>
        <v/>
      </c>
      <c r="W395" s="25" t="str">
        <f aca="true">IF($J395="","",IF($M395="Active",TODAY(),IF($U395&lt;&gt;"",$U395,IF($L395&lt;&gt;"",$L395,TODAY())))-$J395)</f>
        <v/>
      </c>
      <c r="X395" s="25" t="str">
        <f aca="true">IF(OR($L395="",$M395&lt;&gt;"Active"),"",TODAY()-$L395)</f>
        <v/>
      </c>
      <c r="Y395" s="25" t="str">
        <f aca="false">IF($M395&lt;&gt;"Active","",INDEX(Lists!$C$4:$C$14,MATCH($K395,Lists!$A$4:$A$14,0)))</f>
        <v/>
      </c>
      <c r="Z395" s="25" t="str">
        <f aca="false">IF($B395="","",IF($M395&lt;&gt;"Active","Closed",IF($X395="","",IF($X395&gt;$Y395,"BREACH","On Track"))))</f>
        <v/>
      </c>
      <c r="AA395" s="25" t="str">
        <f aca="false">IF($K395="","",IFERROR(INDEX(Lists!$E$4:$E$14,MATCH($K395,Lists!$A$4:$A$14,0)),""))</f>
        <v/>
      </c>
      <c r="AB395" s="27" t="str">
        <f aca="false">IF($U395&lt;&gt;"",$U395,IF(OR($T395="",$M395&lt;&gt;"Active"),"",$T395+N($R395)))</f>
        <v/>
      </c>
      <c r="AC395" s="25" t="str">
        <f aca="false">IF(OR($T395="",$J395=""),"",$T395-$J395)</f>
        <v/>
      </c>
      <c r="AD395" s="25" t="str">
        <f aca="false">IF(AND($K395="Joined",$U395&lt;&gt;"",$J395&lt;&gt;""),$U395-$J395,"")</f>
        <v/>
      </c>
      <c r="AE395" s="25" t="str">
        <f aca="false">IF($K395="","",IF(OR($K395="Rejected",$K395="Withdrawn"),IFERROR(INDEX(Lists!$B$4:$B$14,MATCH($N395,Lists!$A$4:$A$14,0)),1),IFERROR(INDEX(Lists!$B$4:$B$14,MATCH($K395,Lists!$A$4:$A$14,0)),0)))</f>
        <v/>
      </c>
    </row>
    <row r="396" customFormat="false" ht="15" hidden="false" customHeight="false" outlineLevel="0" collapsed="false">
      <c r="A396" s="25" t="str">
        <f aca="false">IF($B396="","","C-"&amp;TEXT(ROW()-1,"0000"))</f>
        <v/>
      </c>
      <c r="B396" s="21"/>
      <c r="C396" s="21"/>
      <c r="D396" s="21"/>
      <c r="E396" s="21"/>
      <c r="F396" s="25" t="str">
        <f aca="false">IF($E396="","",IFERROR(INDEX(Requisitions!$B$2:$B$101,MATCH($E396,Requisitions!$A$2:$A$101,0)),"Unknown Req"))</f>
        <v/>
      </c>
      <c r="G396" s="25" t="str">
        <f aca="false">IF($E396="","",IFERROR(INDEX(Requisitions!$D$2:$D$101,MATCH($E396,Requisitions!$A$2:$A$101,0)),""))</f>
        <v/>
      </c>
      <c r="H396" s="21"/>
      <c r="I396" s="21"/>
      <c r="J396" s="22"/>
      <c r="K396" s="21"/>
      <c r="L396" s="22"/>
      <c r="M396" s="25" t="str">
        <f aca="false">IF($K396="","",IFERROR(INDEX(Lists!$D$4:$D$14,MATCH($K396,Lists!$A$4:$A$14,0)),"Check stage"))</f>
        <v/>
      </c>
      <c r="N396" s="21"/>
      <c r="O396" s="21"/>
      <c r="P396" s="26"/>
      <c r="Q396" s="26"/>
      <c r="R396" s="21"/>
      <c r="S396" s="21"/>
      <c r="T396" s="22"/>
      <c r="U396" s="22"/>
      <c r="V396" s="24" t="str">
        <f aca="false">IF(OR(N($P396)=0,$Q396=""),"",$Q396/$P396-1)</f>
        <v/>
      </c>
      <c r="W396" s="25" t="str">
        <f aca="true">IF($J396="","",IF($M396="Active",TODAY(),IF($U396&lt;&gt;"",$U396,IF($L396&lt;&gt;"",$L396,TODAY())))-$J396)</f>
        <v/>
      </c>
      <c r="X396" s="25" t="str">
        <f aca="true">IF(OR($L396="",$M396&lt;&gt;"Active"),"",TODAY()-$L396)</f>
        <v/>
      </c>
      <c r="Y396" s="25" t="str">
        <f aca="false">IF($M396&lt;&gt;"Active","",INDEX(Lists!$C$4:$C$14,MATCH($K396,Lists!$A$4:$A$14,0)))</f>
        <v/>
      </c>
      <c r="Z396" s="25" t="str">
        <f aca="false">IF($B396="","",IF($M396&lt;&gt;"Active","Closed",IF($X396="","",IF($X396&gt;$Y396,"BREACH","On Track"))))</f>
        <v/>
      </c>
      <c r="AA396" s="25" t="str">
        <f aca="false">IF($K396="","",IFERROR(INDEX(Lists!$E$4:$E$14,MATCH($K396,Lists!$A$4:$A$14,0)),""))</f>
        <v/>
      </c>
      <c r="AB396" s="27" t="str">
        <f aca="false">IF($U396&lt;&gt;"",$U396,IF(OR($T396="",$M396&lt;&gt;"Active"),"",$T396+N($R396)))</f>
        <v/>
      </c>
      <c r="AC396" s="25" t="str">
        <f aca="false">IF(OR($T396="",$J396=""),"",$T396-$J396)</f>
        <v/>
      </c>
      <c r="AD396" s="25" t="str">
        <f aca="false">IF(AND($K396="Joined",$U396&lt;&gt;"",$J396&lt;&gt;""),$U396-$J396,"")</f>
        <v/>
      </c>
      <c r="AE396" s="25" t="str">
        <f aca="false">IF($K396="","",IF(OR($K396="Rejected",$K396="Withdrawn"),IFERROR(INDEX(Lists!$B$4:$B$14,MATCH($N396,Lists!$A$4:$A$14,0)),1),IFERROR(INDEX(Lists!$B$4:$B$14,MATCH($K396,Lists!$A$4:$A$14,0)),0)))</f>
        <v/>
      </c>
    </row>
    <row r="397" customFormat="false" ht="15" hidden="false" customHeight="false" outlineLevel="0" collapsed="false">
      <c r="A397" s="25" t="str">
        <f aca="false">IF($B397="","","C-"&amp;TEXT(ROW()-1,"0000"))</f>
        <v/>
      </c>
      <c r="B397" s="21"/>
      <c r="C397" s="21"/>
      <c r="D397" s="21"/>
      <c r="E397" s="21"/>
      <c r="F397" s="25" t="str">
        <f aca="false">IF($E397="","",IFERROR(INDEX(Requisitions!$B$2:$B$101,MATCH($E397,Requisitions!$A$2:$A$101,0)),"Unknown Req"))</f>
        <v/>
      </c>
      <c r="G397" s="25" t="str">
        <f aca="false">IF($E397="","",IFERROR(INDEX(Requisitions!$D$2:$D$101,MATCH($E397,Requisitions!$A$2:$A$101,0)),""))</f>
        <v/>
      </c>
      <c r="H397" s="21"/>
      <c r="I397" s="21"/>
      <c r="J397" s="22"/>
      <c r="K397" s="21"/>
      <c r="L397" s="22"/>
      <c r="M397" s="25" t="str">
        <f aca="false">IF($K397="","",IFERROR(INDEX(Lists!$D$4:$D$14,MATCH($K397,Lists!$A$4:$A$14,0)),"Check stage"))</f>
        <v/>
      </c>
      <c r="N397" s="21"/>
      <c r="O397" s="21"/>
      <c r="P397" s="26"/>
      <c r="Q397" s="26"/>
      <c r="R397" s="21"/>
      <c r="S397" s="21"/>
      <c r="T397" s="22"/>
      <c r="U397" s="22"/>
      <c r="V397" s="24" t="str">
        <f aca="false">IF(OR(N($P397)=0,$Q397=""),"",$Q397/$P397-1)</f>
        <v/>
      </c>
      <c r="W397" s="25" t="str">
        <f aca="true">IF($J397="","",IF($M397="Active",TODAY(),IF($U397&lt;&gt;"",$U397,IF($L397&lt;&gt;"",$L397,TODAY())))-$J397)</f>
        <v/>
      </c>
      <c r="X397" s="25" t="str">
        <f aca="true">IF(OR($L397="",$M397&lt;&gt;"Active"),"",TODAY()-$L397)</f>
        <v/>
      </c>
      <c r="Y397" s="25" t="str">
        <f aca="false">IF($M397&lt;&gt;"Active","",INDEX(Lists!$C$4:$C$14,MATCH($K397,Lists!$A$4:$A$14,0)))</f>
        <v/>
      </c>
      <c r="Z397" s="25" t="str">
        <f aca="false">IF($B397="","",IF($M397&lt;&gt;"Active","Closed",IF($X397="","",IF($X397&gt;$Y397,"BREACH","On Track"))))</f>
        <v/>
      </c>
      <c r="AA397" s="25" t="str">
        <f aca="false">IF($K397="","",IFERROR(INDEX(Lists!$E$4:$E$14,MATCH($K397,Lists!$A$4:$A$14,0)),""))</f>
        <v/>
      </c>
      <c r="AB397" s="27" t="str">
        <f aca="false">IF($U397&lt;&gt;"",$U397,IF(OR($T397="",$M397&lt;&gt;"Active"),"",$T397+N($R397)))</f>
        <v/>
      </c>
      <c r="AC397" s="25" t="str">
        <f aca="false">IF(OR($T397="",$J397=""),"",$T397-$J397)</f>
        <v/>
      </c>
      <c r="AD397" s="25" t="str">
        <f aca="false">IF(AND($K397="Joined",$U397&lt;&gt;"",$J397&lt;&gt;""),$U397-$J397,"")</f>
        <v/>
      </c>
      <c r="AE397" s="25" t="str">
        <f aca="false">IF($K397="","",IF(OR($K397="Rejected",$K397="Withdrawn"),IFERROR(INDEX(Lists!$B$4:$B$14,MATCH($N397,Lists!$A$4:$A$14,0)),1),IFERROR(INDEX(Lists!$B$4:$B$14,MATCH($K397,Lists!$A$4:$A$14,0)),0)))</f>
        <v/>
      </c>
    </row>
    <row r="398" customFormat="false" ht="15" hidden="false" customHeight="false" outlineLevel="0" collapsed="false">
      <c r="A398" s="25" t="str">
        <f aca="false">IF($B398="","","C-"&amp;TEXT(ROW()-1,"0000"))</f>
        <v/>
      </c>
      <c r="B398" s="21"/>
      <c r="C398" s="21"/>
      <c r="D398" s="21"/>
      <c r="E398" s="21"/>
      <c r="F398" s="25" t="str">
        <f aca="false">IF($E398="","",IFERROR(INDEX(Requisitions!$B$2:$B$101,MATCH($E398,Requisitions!$A$2:$A$101,0)),"Unknown Req"))</f>
        <v/>
      </c>
      <c r="G398" s="25" t="str">
        <f aca="false">IF($E398="","",IFERROR(INDEX(Requisitions!$D$2:$D$101,MATCH($E398,Requisitions!$A$2:$A$101,0)),""))</f>
        <v/>
      </c>
      <c r="H398" s="21"/>
      <c r="I398" s="21"/>
      <c r="J398" s="22"/>
      <c r="K398" s="21"/>
      <c r="L398" s="22"/>
      <c r="M398" s="25" t="str">
        <f aca="false">IF($K398="","",IFERROR(INDEX(Lists!$D$4:$D$14,MATCH($K398,Lists!$A$4:$A$14,0)),"Check stage"))</f>
        <v/>
      </c>
      <c r="N398" s="21"/>
      <c r="O398" s="21"/>
      <c r="P398" s="26"/>
      <c r="Q398" s="26"/>
      <c r="R398" s="21"/>
      <c r="S398" s="21"/>
      <c r="T398" s="22"/>
      <c r="U398" s="22"/>
      <c r="V398" s="24" t="str">
        <f aca="false">IF(OR(N($P398)=0,$Q398=""),"",$Q398/$P398-1)</f>
        <v/>
      </c>
      <c r="W398" s="25" t="str">
        <f aca="true">IF($J398="","",IF($M398="Active",TODAY(),IF($U398&lt;&gt;"",$U398,IF($L398&lt;&gt;"",$L398,TODAY())))-$J398)</f>
        <v/>
      </c>
      <c r="X398" s="25" t="str">
        <f aca="true">IF(OR($L398="",$M398&lt;&gt;"Active"),"",TODAY()-$L398)</f>
        <v/>
      </c>
      <c r="Y398" s="25" t="str">
        <f aca="false">IF($M398&lt;&gt;"Active","",INDEX(Lists!$C$4:$C$14,MATCH($K398,Lists!$A$4:$A$14,0)))</f>
        <v/>
      </c>
      <c r="Z398" s="25" t="str">
        <f aca="false">IF($B398="","",IF($M398&lt;&gt;"Active","Closed",IF($X398="","",IF($X398&gt;$Y398,"BREACH","On Track"))))</f>
        <v/>
      </c>
      <c r="AA398" s="25" t="str">
        <f aca="false">IF($K398="","",IFERROR(INDEX(Lists!$E$4:$E$14,MATCH($K398,Lists!$A$4:$A$14,0)),""))</f>
        <v/>
      </c>
      <c r="AB398" s="27" t="str">
        <f aca="false">IF($U398&lt;&gt;"",$U398,IF(OR($T398="",$M398&lt;&gt;"Active"),"",$T398+N($R398)))</f>
        <v/>
      </c>
      <c r="AC398" s="25" t="str">
        <f aca="false">IF(OR($T398="",$J398=""),"",$T398-$J398)</f>
        <v/>
      </c>
      <c r="AD398" s="25" t="str">
        <f aca="false">IF(AND($K398="Joined",$U398&lt;&gt;"",$J398&lt;&gt;""),$U398-$J398,"")</f>
        <v/>
      </c>
      <c r="AE398" s="25" t="str">
        <f aca="false">IF($K398="","",IF(OR($K398="Rejected",$K398="Withdrawn"),IFERROR(INDEX(Lists!$B$4:$B$14,MATCH($N398,Lists!$A$4:$A$14,0)),1),IFERROR(INDEX(Lists!$B$4:$B$14,MATCH($K398,Lists!$A$4:$A$14,0)),0)))</f>
        <v/>
      </c>
    </row>
    <row r="399" customFormat="false" ht="15" hidden="false" customHeight="false" outlineLevel="0" collapsed="false">
      <c r="A399" s="25" t="str">
        <f aca="false">IF($B399="","","C-"&amp;TEXT(ROW()-1,"0000"))</f>
        <v/>
      </c>
      <c r="B399" s="21"/>
      <c r="C399" s="21"/>
      <c r="D399" s="21"/>
      <c r="E399" s="21"/>
      <c r="F399" s="25" t="str">
        <f aca="false">IF($E399="","",IFERROR(INDEX(Requisitions!$B$2:$B$101,MATCH($E399,Requisitions!$A$2:$A$101,0)),"Unknown Req"))</f>
        <v/>
      </c>
      <c r="G399" s="25" t="str">
        <f aca="false">IF($E399="","",IFERROR(INDEX(Requisitions!$D$2:$D$101,MATCH($E399,Requisitions!$A$2:$A$101,0)),""))</f>
        <v/>
      </c>
      <c r="H399" s="21"/>
      <c r="I399" s="21"/>
      <c r="J399" s="22"/>
      <c r="K399" s="21"/>
      <c r="L399" s="22"/>
      <c r="M399" s="25" t="str">
        <f aca="false">IF($K399="","",IFERROR(INDEX(Lists!$D$4:$D$14,MATCH($K399,Lists!$A$4:$A$14,0)),"Check stage"))</f>
        <v/>
      </c>
      <c r="N399" s="21"/>
      <c r="O399" s="21"/>
      <c r="P399" s="26"/>
      <c r="Q399" s="26"/>
      <c r="R399" s="21"/>
      <c r="S399" s="21"/>
      <c r="T399" s="22"/>
      <c r="U399" s="22"/>
      <c r="V399" s="24" t="str">
        <f aca="false">IF(OR(N($P399)=0,$Q399=""),"",$Q399/$P399-1)</f>
        <v/>
      </c>
      <c r="W399" s="25" t="str">
        <f aca="true">IF($J399="","",IF($M399="Active",TODAY(),IF($U399&lt;&gt;"",$U399,IF($L399&lt;&gt;"",$L399,TODAY())))-$J399)</f>
        <v/>
      </c>
      <c r="X399" s="25" t="str">
        <f aca="true">IF(OR($L399="",$M399&lt;&gt;"Active"),"",TODAY()-$L399)</f>
        <v/>
      </c>
      <c r="Y399" s="25" t="str">
        <f aca="false">IF($M399&lt;&gt;"Active","",INDEX(Lists!$C$4:$C$14,MATCH($K399,Lists!$A$4:$A$14,0)))</f>
        <v/>
      </c>
      <c r="Z399" s="25" t="str">
        <f aca="false">IF($B399="","",IF($M399&lt;&gt;"Active","Closed",IF($X399="","",IF($X399&gt;$Y399,"BREACH","On Track"))))</f>
        <v/>
      </c>
      <c r="AA399" s="25" t="str">
        <f aca="false">IF($K399="","",IFERROR(INDEX(Lists!$E$4:$E$14,MATCH($K399,Lists!$A$4:$A$14,0)),""))</f>
        <v/>
      </c>
      <c r="AB399" s="27" t="str">
        <f aca="false">IF($U399&lt;&gt;"",$U399,IF(OR($T399="",$M399&lt;&gt;"Active"),"",$T399+N($R399)))</f>
        <v/>
      </c>
      <c r="AC399" s="25" t="str">
        <f aca="false">IF(OR($T399="",$J399=""),"",$T399-$J399)</f>
        <v/>
      </c>
      <c r="AD399" s="25" t="str">
        <f aca="false">IF(AND($K399="Joined",$U399&lt;&gt;"",$J399&lt;&gt;""),$U399-$J399,"")</f>
        <v/>
      </c>
      <c r="AE399" s="25" t="str">
        <f aca="false">IF($K399="","",IF(OR($K399="Rejected",$K399="Withdrawn"),IFERROR(INDEX(Lists!$B$4:$B$14,MATCH($N399,Lists!$A$4:$A$14,0)),1),IFERROR(INDEX(Lists!$B$4:$B$14,MATCH($K399,Lists!$A$4:$A$14,0)),0)))</f>
        <v/>
      </c>
    </row>
    <row r="400" customFormat="false" ht="15" hidden="false" customHeight="false" outlineLevel="0" collapsed="false">
      <c r="A400" s="25" t="str">
        <f aca="false">IF($B400="","","C-"&amp;TEXT(ROW()-1,"0000"))</f>
        <v/>
      </c>
      <c r="B400" s="21"/>
      <c r="C400" s="21"/>
      <c r="D400" s="21"/>
      <c r="E400" s="21"/>
      <c r="F400" s="25" t="str">
        <f aca="false">IF($E400="","",IFERROR(INDEX(Requisitions!$B$2:$B$101,MATCH($E400,Requisitions!$A$2:$A$101,0)),"Unknown Req"))</f>
        <v/>
      </c>
      <c r="G400" s="25" t="str">
        <f aca="false">IF($E400="","",IFERROR(INDEX(Requisitions!$D$2:$D$101,MATCH($E400,Requisitions!$A$2:$A$101,0)),""))</f>
        <v/>
      </c>
      <c r="H400" s="21"/>
      <c r="I400" s="21"/>
      <c r="J400" s="22"/>
      <c r="K400" s="21"/>
      <c r="L400" s="22"/>
      <c r="M400" s="25" t="str">
        <f aca="false">IF($K400="","",IFERROR(INDEX(Lists!$D$4:$D$14,MATCH($K400,Lists!$A$4:$A$14,0)),"Check stage"))</f>
        <v/>
      </c>
      <c r="N400" s="21"/>
      <c r="O400" s="21"/>
      <c r="P400" s="26"/>
      <c r="Q400" s="26"/>
      <c r="R400" s="21"/>
      <c r="S400" s="21"/>
      <c r="T400" s="22"/>
      <c r="U400" s="22"/>
      <c r="V400" s="24" t="str">
        <f aca="false">IF(OR(N($P400)=0,$Q400=""),"",$Q400/$P400-1)</f>
        <v/>
      </c>
      <c r="W400" s="25" t="str">
        <f aca="true">IF($J400="","",IF($M400="Active",TODAY(),IF($U400&lt;&gt;"",$U400,IF($L400&lt;&gt;"",$L400,TODAY())))-$J400)</f>
        <v/>
      </c>
      <c r="X400" s="25" t="str">
        <f aca="true">IF(OR($L400="",$M400&lt;&gt;"Active"),"",TODAY()-$L400)</f>
        <v/>
      </c>
      <c r="Y400" s="25" t="str">
        <f aca="false">IF($M400&lt;&gt;"Active","",INDEX(Lists!$C$4:$C$14,MATCH($K400,Lists!$A$4:$A$14,0)))</f>
        <v/>
      </c>
      <c r="Z400" s="25" t="str">
        <f aca="false">IF($B400="","",IF($M400&lt;&gt;"Active","Closed",IF($X400="","",IF($X400&gt;$Y400,"BREACH","On Track"))))</f>
        <v/>
      </c>
      <c r="AA400" s="25" t="str">
        <f aca="false">IF($K400="","",IFERROR(INDEX(Lists!$E$4:$E$14,MATCH($K400,Lists!$A$4:$A$14,0)),""))</f>
        <v/>
      </c>
      <c r="AB400" s="27" t="str">
        <f aca="false">IF($U400&lt;&gt;"",$U400,IF(OR($T400="",$M400&lt;&gt;"Active"),"",$T400+N($R400)))</f>
        <v/>
      </c>
      <c r="AC400" s="25" t="str">
        <f aca="false">IF(OR($T400="",$J400=""),"",$T400-$J400)</f>
        <v/>
      </c>
      <c r="AD400" s="25" t="str">
        <f aca="false">IF(AND($K400="Joined",$U400&lt;&gt;"",$J400&lt;&gt;""),$U400-$J400,"")</f>
        <v/>
      </c>
      <c r="AE400" s="25" t="str">
        <f aca="false">IF($K400="","",IF(OR($K400="Rejected",$K400="Withdrawn"),IFERROR(INDEX(Lists!$B$4:$B$14,MATCH($N400,Lists!$A$4:$A$14,0)),1),IFERROR(INDEX(Lists!$B$4:$B$14,MATCH($K400,Lists!$A$4:$A$14,0)),0)))</f>
        <v/>
      </c>
    </row>
    <row r="401" customFormat="false" ht="15" hidden="false" customHeight="false" outlineLevel="0" collapsed="false">
      <c r="A401" s="25" t="str">
        <f aca="false">IF($B401="","","C-"&amp;TEXT(ROW()-1,"0000"))</f>
        <v/>
      </c>
      <c r="B401" s="21"/>
      <c r="C401" s="21"/>
      <c r="D401" s="21"/>
      <c r="E401" s="21"/>
      <c r="F401" s="25" t="str">
        <f aca="false">IF($E401="","",IFERROR(INDEX(Requisitions!$B$2:$B$101,MATCH($E401,Requisitions!$A$2:$A$101,0)),"Unknown Req"))</f>
        <v/>
      </c>
      <c r="G401" s="25" t="str">
        <f aca="false">IF($E401="","",IFERROR(INDEX(Requisitions!$D$2:$D$101,MATCH($E401,Requisitions!$A$2:$A$101,0)),""))</f>
        <v/>
      </c>
      <c r="H401" s="21"/>
      <c r="I401" s="21"/>
      <c r="J401" s="22"/>
      <c r="K401" s="21"/>
      <c r="L401" s="22"/>
      <c r="M401" s="25" t="str">
        <f aca="false">IF($K401="","",IFERROR(INDEX(Lists!$D$4:$D$14,MATCH($K401,Lists!$A$4:$A$14,0)),"Check stage"))</f>
        <v/>
      </c>
      <c r="N401" s="21"/>
      <c r="O401" s="21"/>
      <c r="P401" s="26"/>
      <c r="Q401" s="26"/>
      <c r="R401" s="21"/>
      <c r="S401" s="21"/>
      <c r="T401" s="22"/>
      <c r="U401" s="22"/>
      <c r="V401" s="24" t="str">
        <f aca="false">IF(OR(N($P401)=0,$Q401=""),"",$Q401/$P401-1)</f>
        <v/>
      </c>
      <c r="W401" s="25" t="str">
        <f aca="true">IF($J401="","",IF($M401="Active",TODAY(),IF($U401&lt;&gt;"",$U401,IF($L401&lt;&gt;"",$L401,TODAY())))-$J401)</f>
        <v/>
      </c>
      <c r="X401" s="25" t="str">
        <f aca="true">IF(OR($L401="",$M401&lt;&gt;"Active"),"",TODAY()-$L401)</f>
        <v/>
      </c>
      <c r="Y401" s="25" t="str">
        <f aca="false">IF($M401&lt;&gt;"Active","",INDEX(Lists!$C$4:$C$14,MATCH($K401,Lists!$A$4:$A$14,0)))</f>
        <v/>
      </c>
      <c r="Z401" s="25" t="str">
        <f aca="false">IF($B401="","",IF($M401&lt;&gt;"Active","Closed",IF($X401="","",IF($X401&gt;$Y401,"BREACH","On Track"))))</f>
        <v/>
      </c>
      <c r="AA401" s="25" t="str">
        <f aca="false">IF($K401="","",IFERROR(INDEX(Lists!$E$4:$E$14,MATCH($K401,Lists!$A$4:$A$14,0)),""))</f>
        <v/>
      </c>
      <c r="AB401" s="27" t="str">
        <f aca="false">IF($U401&lt;&gt;"",$U401,IF(OR($T401="",$M401&lt;&gt;"Active"),"",$T401+N($R401)))</f>
        <v/>
      </c>
      <c r="AC401" s="25" t="str">
        <f aca="false">IF(OR($T401="",$J401=""),"",$T401-$J401)</f>
        <v/>
      </c>
      <c r="AD401" s="25" t="str">
        <f aca="false">IF(AND($K401="Joined",$U401&lt;&gt;"",$J401&lt;&gt;""),$U401-$J401,"")</f>
        <v/>
      </c>
      <c r="AE401" s="25" t="str">
        <f aca="false">IF($K401="","",IF(OR($K401="Rejected",$K401="Withdrawn"),IFERROR(INDEX(Lists!$B$4:$B$14,MATCH($N401,Lists!$A$4:$A$14,0)),1),IFERROR(INDEX(Lists!$B$4:$B$14,MATCH($K401,Lists!$A$4:$A$14,0)),0)))</f>
        <v/>
      </c>
    </row>
    <row r="402" customFormat="false" ht="15" hidden="false" customHeight="false" outlineLevel="0" collapsed="false">
      <c r="A402" s="25" t="str">
        <f aca="false">IF($B402="","","C-"&amp;TEXT(ROW()-1,"0000"))</f>
        <v/>
      </c>
      <c r="B402" s="21"/>
      <c r="C402" s="21"/>
      <c r="D402" s="21"/>
      <c r="E402" s="21"/>
      <c r="F402" s="25" t="str">
        <f aca="false">IF($E402="","",IFERROR(INDEX(Requisitions!$B$2:$B$101,MATCH($E402,Requisitions!$A$2:$A$101,0)),"Unknown Req"))</f>
        <v/>
      </c>
      <c r="G402" s="25" t="str">
        <f aca="false">IF($E402="","",IFERROR(INDEX(Requisitions!$D$2:$D$101,MATCH($E402,Requisitions!$A$2:$A$101,0)),""))</f>
        <v/>
      </c>
      <c r="H402" s="21"/>
      <c r="I402" s="21"/>
      <c r="J402" s="22"/>
      <c r="K402" s="21"/>
      <c r="L402" s="22"/>
      <c r="M402" s="25" t="str">
        <f aca="false">IF($K402="","",IFERROR(INDEX(Lists!$D$4:$D$14,MATCH($K402,Lists!$A$4:$A$14,0)),"Check stage"))</f>
        <v/>
      </c>
      <c r="N402" s="21"/>
      <c r="O402" s="21"/>
      <c r="P402" s="26"/>
      <c r="Q402" s="26"/>
      <c r="R402" s="21"/>
      <c r="S402" s="21"/>
      <c r="T402" s="22"/>
      <c r="U402" s="22"/>
      <c r="V402" s="24" t="str">
        <f aca="false">IF(OR(N($P402)=0,$Q402=""),"",$Q402/$P402-1)</f>
        <v/>
      </c>
      <c r="W402" s="25" t="str">
        <f aca="true">IF($J402="","",IF($M402="Active",TODAY(),IF($U402&lt;&gt;"",$U402,IF($L402&lt;&gt;"",$L402,TODAY())))-$J402)</f>
        <v/>
      </c>
      <c r="X402" s="25" t="str">
        <f aca="true">IF(OR($L402="",$M402&lt;&gt;"Active"),"",TODAY()-$L402)</f>
        <v/>
      </c>
      <c r="Y402" s="25" t="str">
        <f aca="false">IF($M402&lt;&gt;"Active","",INDEX(Lists!$C$4:$C$14,MATCH($K402,Lists!$A$4:$A$14,0)))</f>
        <v/>
      </c>
      <c r="Z402" s="25" t="str">
        <f aca="false">IF($B402="","",IF($M402&lt;&gt;"Active","Closed",IF($X402="","",IF($X402&gt;$Y402,"BREACH","On Track"))))</f>
        <v/>
      </c>
      <c r="AA402" s="25" t="str">
        <f aca="false">IF($K402="","",IFERROR(INDEX(Lists!$E$4:$E$14,MATCH($K402,Lists!$A$4:$A$14,0)),""))</f>
        <v/>
      </c>
      <c r="AB402" s="27" t="str">
        <f aca="false">IF($U402&lt;&gt;"",$U402,IF(OR($T402="",$M402&lt;&gt;"Active"),"",$T402+N($R402)))</f>
        <v/>
      </c>
      <c r="AC402" s="25" t="str">
        <f aca="false">IF(OR($T402="",$J402=""),"",$T402-$J402)</f>
        <v/>
      </c>
      <c r="AD402" s="25" t="str">
        <f aca="false">IF(AND($K402="Joined",$U402&lt;&gt;"",$J402&lt;&gt;""),$U402-$J402,"")</f>
        <v/>
      </c>
      <c r="AE402" s="25" t="str">
        <f aca="false">IF($K402="","",IF(OR($K402="Rejected",$K402="Withdrawn"),IFERROR(INDEX(Lists!$B$4:$B$14,MATCH($N402,Lists!$A$4:$A$14,0)),1),IFERROR(INDEX(Lists!$B$4:$B$14,MATCH($K402,Lists!$A$4:$A$14,0)),0)))</f>
        <v/>
      </c>
    </row>
    <row r="403" customFormat="false" ht="15" hidden="false" customHeight="false" outlineLevel="0" collapsed="false">
      <c r="A403" s="25" t="str">
        <f aca="false">IF($B403="","","C-"&amp;TEXT(ROW()-1,"0000"))</f>
        <v/>
      </c>
      <c r="B403" s="21"/>
      <c r="C403" s="21"/>
      <c r="D403" s="21"/>
      <c r="E403" s="21"/>
      <c r="F403" s="25" t="str">
        <f aca="false">IF($E403="","",IFERROR(INDEX(Requisitions!$B$2:$B$101,MATCH($E403,Requisitions!$A$2:$A$101,0)),"Unknown Req"))</f>
        <v/>
      </c>
      <c r="G403" s="25" t="str">
        <f aca="false">IF($E403="","",IFERROR(INDEX(Requisitions!$D$2:$D$101,MATCH($E403,Requisitions!$A$2:$A$101,0)),""))</f>
        <v/>
      </c>
      <c r="H403" s="21"/>
      <c r="I403" s="21"/>
      <c r="J403" s="22"/>
      <c r="K403" s="21"/>
      <c r="L403" s="22"/>
      <c r="M403" s="25" t="str">
        <f aca="false">IF($K403="","",IFERROR(INDEX(Lists!$D$4:$D$14,MATCH($K403,Lists!$A$4:$A$14,0)),"Check stage"))</f>
        <v/>
      </c>
      <c r="N403" s="21"/>
      <c r="O403" s="21"/>
      <c r="P403" s="26"/>
      <c r="Q403" s="26"/>
      <c r="R403" s="21"/>
      <c r="S403" s="21"/>
      <c r="T403" s="22"/>
      <c r="U403" s="22"/>
      <c r="V403" s="24" t="str">
        <f aca="false">IF(OR(N($P403)=0,$Q403=""),"",$Q403/$P403-1)</f>
        <v/>
      </c>
      <c r="W403" s="25" t="str">
        <f aca="true">IF($J403="","",IF($M403="Active",TODAY(),IF($U403&lt;&gt;"",$U403,IF($L403&lt;&gt;"",$L403,TODAY())))-$J403)</f>
        <v/>
      </c>
      <c r="X403" s="25" t="str">
        <f aca="true">IF(OR($L403="",$M403&lt;&gt;"Active"),"",TODAY()-$L403)</f>
        <v/>
      </c>
      <c r="Y403" s="25" t="str">
        <f aca="false">IF($M403&lt;&gt;"Active","",INDEX(Lists!$C$4:$C$14,MATCH($K403,Lists!$A$4:$A$14,0)))</f>
        <v/>
      </c>
      <c r="Z403" s="25" t="str">
        <f aca="false">IF($B403="","",IF($M403&lt;&gt;"Active","Closed",IF($X403="","",IF($X403&gt;$Y403,"BREACH","On Track"))))</f>
        <v/>
      </c>
      <c r="AA403" s="25" t="str">
        <f aca="false">IF($K403="","",IFERROR(INDEX(Lists!$E$4:$E$14,MATCH($K403,Lists!$A$4:$A$14,0)),""))</f>
        <v/>
      </c>
      <c r="AB403" s="27" t="str">
        <f aca="false">IF($U403&lt;&gt;"",$U403,IF(OR($T403="",$M403&lt;&gt;"Active"),"",$T403+N($R403)))</f>
        <v/>
      </c>
      <c r="AC403" s="25" t="str">
        <f aca="false">IF(OR($T403="",$J403=""),"",$T403-$J403)</f>
        <v/>
      </c>
      <c r="AD403" s="25" t="str">
        <f aca="false">IF(AND($K403="Joined",$U403&lt;&gt;"",$J403&lt;&gt;""),$U403-$J403,"")</f>
        <v/>
      </c>
      <c r="AE403" s="25" t="str">
        <f aca="false">IF($K403="","",IF(OR($K403="Rejected",$K403="Withdrawn"),IFERROR(INDEX(Lists!$B$4:$B$14,MATCH($N403,Lists!$A$4:$A$14,0)),1),IFERROR(INDEX(Lists!$B$4:$B$14,MATCH($K403,Lists!$A$4:$A$14,0)),0)))</f>
        <v/>
      </c>
    </row>
    <row r="404" customFormat="false" ht="15" hidden="false" customHeight="false" outlineLevel="0" collapsed="false">
      <c r="A404" s="25" t="str">
        <f aca="false">IF($B404="","","C-"&amp;TEXT(ROW()-1,"0000"))</f>
        <v/>
      </c>
      <c r="B404" s="21"/>
      <c r="C404" s="21"/>
      <c r="D404" s="21"/>
      <c r="E404" s="21"/>
      <c r="F404" s="25" t="str">
        <f aca="false">IF($E404="","",IFERROR(INDEX(Requisitions!$B$2:$B$101,MATCH($E404,Requisitions!$A$2:$A$101,0)),"Unknown Req"))</f>
        <v/>
      </c>
      <c r="G404" s="25" t="str">
        <f aca="false">IF($E404="","",IFERROR(INDEX(Requisitions!$D$2:$D$101,MATCH($E404,Requisitions!$A$2:$A$101,0)),""))</f>
        <v/>
      </c>
      <c r="H404" s="21"/>
      <c r="I404" s="21"/>
      <c r="J404" s="22"/>
      <c r="K404" s="21"/>
      <c r="L404" s="22"/>
      <c r="M404" s="25" t="str">
        <f aca="false">IF($K404="","",IFERROR(INDEX(Lists!$D$4:$D$14,MATCH($K404,Lists!$A$4:$A$14,0)),"Check stage"))</f>
        <v/>
      </c>
      <c r="N404" s="21"/>
      <c r="O404" s="21"/>
      <c r="P404" s="26"/>
      <c r="Q404" s="26"/>
      <c r="R404" s="21"/>
      <c r="S404" s="21"/>
      <c r="T404" s="22"/>
      <c r="U404" s="22"/>
      <c r="V404" s="24" t="str">
        <f aca="false">IF(OR(N($P404)=0,$Q404=""),"",$Q404/$P404-1)</f>
        <v/>
      </c>
      <c r="W404" s="25" t="str">
        <f aca="true">IF($J404="","",IF($M404="Active",TODAY(),IF($U404&lt;&gt;"",$U404,IF($L404&lt;&gt;"",$L404,TODAY())))-$J404)</f>
        <v/>
      </c>
      <c r="X404" s="25" t="str">
        <f aca="true">IF(OR($L404="",$M404&lt;&gt;"Active"),"",TODAY()-$L404)</f>
        <v/>
      </c>
      <c r="Y404" s="25" t="str">
        <f aca="false">IF($M404&lt;&gt;"Active","",INDEX(Lists!$C$4:$C$14,MATCH($K404,Lists!$A$4:$A$14,0)))</f>
        <v/>
      </c>
      <c r="Z404" s="25" t="str">
        <f aca="false">IF($B404="","",IF($M404&lt;&gt;"Active","Closed",IF($X404="","",IF($X404&gt;$Y404,"BREACH","On Track"))))</f>
        <v/>
      </c>
      <c r="AA404" s="25" t="str">
        <f aca="false">IF($K404="","",IFERROR(INDEX(Lists!$E$4:$E$14,MATCH($K404,Lists!$A$4:$A$14,0)),""))</f>
        <v/>
      </c>
      <c r="AB404" s="27" t="str">
        <f aca="false">IF($U404&lt;&gt;"",$U404,IF(OR($T404="",$M404&lt;&gt;"Active"),"",$T404+N($R404)))</f>
        <v/>
      </c>
      <c r="AC404" s="25" t="str">
        <f aca="false">IF(OR($T404="",$J404=""),"",$T404-$J404)</f>
        <v/>
      </c>
      <c r="AD404" s="25" t="str">
        <f aca="false">IF(AND($K404="Joined",$U404&lt;&gt;"",$J404&lt;&gt;""),$U404-$J404,"")</f>
        <v/>
      </c>
      <c r="AE404" s="25" t="str">
        <f aca="false">IF($K404="","",IF(OR($K404="Rejected",$K404="Withdrawn"),IFERROR(INDEX(Lists!$B$4:$B$14,MATCH($N404,Lists!$A$4:$A$14,0)),1),IFERROR(INDEX(Lists!$B$4:$B$14,MATCH($K404,Lists!$A$4:$A$14,0)),0)))</f>
        <v/>
      </c>
    </row>
    <row r="405" customFormat="false" ht="15" hidden="false" customHeight="false" outlineLevel="0" collapsed="false">
      <c r="A405" s="25" t="str">
        <f aca="false">IF($B405="","","C-"&amp;TEXT(ROW()-1,"0000"))</f>
        <v/>
      </c>
      <c r="B405" s="21"/>
      <c r="C405" s="21"/>
      <c r="D405" s="21"/>
      <c r="E405" s="21"/>
      <c r="F405" s="25" t="str">
        <f aca="false">IF($E405="","",IFERROR(INDEX(Requisitions!$B$2:$B$101,MATCH($E405,Requisitions!$A$2:$A$101,0)),"Unknown Req"))</f>
        <v/>
      </c>
      <c r="G405" s="25" t="str">
        <f aca="false">IF($E405="","",IFERROR(INDEX(Requisitions!$D$2:$D$101,MATCH($E405,Requisitions!$A$2:$A$101,0)),""))</f>
        <v/>
      </c>
      <c r="H405" s="21"/>
      <c r="I405" s="21"/>
      <c r="J405" s="22"/>
      <c r="K405" s="21"/>
      <c r="L405" s="22"/>
      <c r="M405" s="25" t="str">
        <f aca="false">IF($K405="","",IFERROR(INDEX(Lists!$D$4:$D$14,MATCH($K405,Lists!$A$4:$A$14,0)),"Check stage"))</f>
        <v/>
      </c>
      <c r="N405" s="21"/>
      <c r="O405" s="21"/>
      <c r="P405" s="26"/>
      <c r="Q405" s="26"/>
      <c r="R405" s="21"/>
      <c r="S405" s="21"/>
      <c r="T405" s="22"/>
      <c r="U405" s="22"/>
      <c r="V405" s="24" t="str">
        <f aca="false">IF(OR(N($P405)=0,$Q405=""),"",$Q405/$P405-1)</f>
        <v/>
      </c>
      <c r="W405" s="25" t="str">
        <f aca="true">IF($J405="","",IF($M405="Active",TODAY(),IF($U405&lt;&gt;"",$U405,IF($L405&lt;&gt;"",$L405,TODAY())))-$J405)</f>
        <v/>
      </c>
      <c r="X405" s="25" t="str">
        <f aca="true">IF(OR($L405="",$M405&lt;&gt;"Active"),"",TODAY()-$L405)</f>
        <v/>
      </c>
      <c r="Y405" s="25" t="str">
        <f aca="false">IF($M405&lt;&gt;"Active","",INDEX(Lists!$C$4:$C$14,MATCH($K405,Lists!$A$4:$A$14,0)))</f>
        <v/>
      </c>
      <c r="Z405" s="25" t="str">
        <f aca="false">IF($B405="","",IF($M405&lt;&gt;"Active","Closed",IF($X405="","",IF($X405&gt;$Y405,"BREACH","On Track"))))</f>
        <v/>
      </c>
      <c r="AA405" s="25" t="str">
        <f aca="false">IF($K405="","",IFERROR(INDEX(Lists!$E$4:$E$14,MATCH($K405,Lists!$A$4:$A$14,0)),""))</f>
        <v/>
      </c>
      <c r="AB405" s="27" t="str">
        <f aca="false">IF($U405&lt;&gt;"",$U405,IF(OR($T405="",$M405&lt;&gt;"Active"),"",$T405+N($R405)))</f>
        <v/>
      </c>
      <c r="AC405" s="25" t="str">
        <f aca="false">IF(OR($T405="",$J405=""),"",$T405-$J405)</f>
        <v/>
      </c>
      <c r="AD405" s="25" t="str">
        <f aca="false">IF(AND($K405="Joined",$U405&lt;&gt;"",$J405&lt;&gt;""),$U405-$J405,"")</f>
        <v/>
      </c>
      <c r="AE405" s="25" t="str">
        <f aca="false">IF($K405="","",IF(OR($K405="Rejected",$K405="Withdrawn"),IFERROR(INDEX(Lists!$B$4:$B$14,MATCH($N405,Lists!$A$4:$A$14,0)),1),IFERROR(INDEX(Lists!$B$4:$B$14,MATCH($K405,Lists!$A$4:$A$14,0)),0)))</f>
        <v/>
      </c>
    </row>
    <row r="406" customFormat="false" ht="15" hidden="false" customHeight="false" outlineLevel="0" collapsed="false">
      <c r="A406" s="25" t="str">
        <f aca="false">IF($B406="","","C-"&amp;TEXT(ROW()-1,"0000"))</f>
        <v/>
      </c>
      <c r="B406" s="21"/>
      <c r="C406" s="21"/>
      <c r="D406" s="21"/>
      <c r="E406" s="21"/>
      <c r="F406" s="25" t="str">
        <f aca="false">IF($E406="","",IFERROR(INDEX(Requisitions!$B$2:$B$101,MATCH($E406,Requisitions!$A$2:$A$101,0)),"Unknown Req"))</f>
        <v/>
      </c>
      <c r="G406" s="25" t="str">
        <f aca="false">IF($E406="","",IFERROR(INDEX(Requisitions!$D$2:$D$101,MATCH($E406,Requisitions!$A$2:$A$101,0)),""))</f>
        <v/>
      </c>
      <c r="H406" s="21"/>
      <c r="I406" s="21"/>
      <c r="J406" s="22"/>
      <c r="K406" s="21"/>
      <c r="L406" s="22"/>
      <c r="M406" s="25" t="str">
        <f aca="false">IF($K406="","",IFERROR(INDEX(Lists!$D$4:$D$14,MATCH($K406,Lists!$A$4:$A$14,0)),"Check stage"))</f>
        <v/>
      </c>
      <c r="N406" s="21"/>
      <c r="O406" s="21"/>
      <c r="P406" s="26"/>
      <c r="Q406" s="26"/>
      <c r="R406" s="21"/>
      <c r="S406" s="21"/>
      <c r="T406" s="22"/>
      <c r="U406" s="22"/>
      <c r="V406" s="24" t="str">
        <f aca="false">IF(OR(N($P406)=0,$Q406=""),"",$Q406/$P406-1)</f>
        <v/>
      </c>
      <c r="W406" s="25" t="str">
        <f aca="true">IF($J406="","",IF($M406="Active",TODAY(),IF($U406&lt;&gt;"",$U406,IF($L406&lt;&gt;"",$L406,TODAY())))-$J406)</f>
        <v/>
      </c>
      <c r="X406" s="25" t="str">
        <f aca="true">IF(OR($L406="",$M406&lt;&gt;"Active"),"",TODAY()-$L406)</f>
        <v/>
      </c>
      <c r="Y406" s="25" t="str">
        <f aca="false">IF($M406&lt;&gt;"Active","",INDEX(Lists!$C$4:$C$14,MATCH($K406,Lists!$A$4:$A$14,0)))</f>
        <v/>
      </c>
      <c r="Z406" s="25" t="str">
        <f aca="false">IF($B406="","",IF($M406&lt;&gt;"Active","Closed",IF($X406="","",IF($X406&gt;$Y406,"BREACH","On Track"))))</f>
        <v/>
      </c>
      <c r="AA406" s="25" t="str">
        <f aca="false">IF($K406="","",IFERROR(INDEX(Lists!$E$4:$E$14,MATCH($K406,Lists!$A$4:$A$14,0)),""))</f>
        <v/>
      </c>
      <c r="AB406" s="27" t="str">
        <f aca="false">IF($U406&lt;&gt;"",$U406,IF(OR($T406="",$M406&lt;&gt;"Active"),"",$T406+N($R406)))</f>
        <v/>
      </c>
      <c r="AC406" s="25" t="str">
        <f aca="false">IF(OR($T406="",$J406=""),"",$T406-$J406)</f>
        <v/>
      </c>
      <c r="AD406" s="25" t="str">
        <f aca="false">IF(AND($K406="Joined",$U406&lt;&gt;"",$J406&lt;&gt;""),$U406-$J406,"")</f>
        <v/>
      </c>
      <c r="AE406" s="25" t="str">
        <f aca="false">IF($K406="","",IF(OR($K406="Rejected",$K406="Withdrawn"),IFERROR(INDEX(Lists!$B$4:$B$14,MATCH($N406,Lists!$A$4:$A$14,0)),1),IFERROR(INDEX(Lists!$B$4:$B$14,MATCH($K406,Lists!$A$4:$A$14,0)),0)))</f>
        <v/>
      </c>
    </row>
    <row r="407" customFormat="false" ht="15" hidden="false" customHeight="false" outlineLevel="0" collapsed="false">
      <c r="A407" s="25" t="str">
        <f aca="false">IF($B407="","","C-"&amp;TEXT(ROW()-1,"0000"))</f>
        <v/>
      </c>
      <c r="B407" s="21"/>
      <c r="C407" s="21"/>
      <c r="D407" s="21"/>
      <c r="E407" s="21"/>
      <c r="F407" s="25" t="str">
        <f aca="false">IF($E407="","",IFERROR(INDEX(Requisitions!$B$2:$B$101,MATCH($E407,Requisitions!$A$2:$A$101,0)),"Unknown Req"))</f>
        <v/>
      </c>
      <c r="G407" s="25" t="str">
        <f aca="false">IF($E407="","",IFERROR(INDEX(Requisitions!$D$2:$D$101,MATCH($E407,Requisitions!$A$2:$A$101,0)),""))</f>
        <v/>
      </c>
      <c r="H407" s="21"/>
      <c r="I407" s="21"/>
      <c r="J407" s="22"/>
      <c r="K407" s="21"/>
      <c r="L407" s="22"/>
      <c r="M407" s="25" t="str">
        <f aca="false">IF($K407="","",IFERROR(INDEX(Lists!$D$4:$D$14,MATCH($K407,Lists!$A$4:$A$14,0)),"Check stage"))</f>
        <v/>
      </c>
      <c r="N407" s="21"/>
      <c r="O407" s="21"/>
      <c r="P407" s="26"/>
      <c r="Q407" s="26"/>
      <c r="R407" s="21"/>
      <c r="S407" s="21"/>
      <c r="T407" s="22"/>
      <c r="U407" s="22"/>
      <c r="V407" s="24" t="str">
        <f aca="false">IF(OR(N($P407)=0,$Q407=""),"",$Q407/$P407-1)</f>
        <v/>
      </c>
      <c r="W407" s="25" t="str">
        <f aca="true">IF($J407="","",IF($M407="Active",TODAY(),IF($U407&lt;&gt;"",$U407,IF($L407&lt;&gt;"",$L407,TODAY())))-$J407)</f>
        <v/>
      </c>
      <c r="X407" s="25" t="str">
        <f aca="true">IF(OR($L407="",$M407&lt;&gt;"Active"),"",TODAY()-$L407)</f>
        <v/>
      </c>
      <c r="Y407" s="25" t="str">
        <f aca="false">IF($M407&lt;&gt;"Active","",INDEX(Lists!$C$4:$C$14,MATCH($K407,Lists!$A$4:$A$14,0)))</f>
        <v/>
      </c>
      <c r="Z407" s="25" t="str">
        <f aca="false">IF($B407="","",IF($M407&lt;&gt;"Active","Closed",IF($X407="","",IF($X407&gt;$Y407,"BREACH","On Track"))))</f>
        <v/>
      </c>
      <c r="AA407" s="25" t="str">
        <f aca="false">IF($K407="","",IFERROR(INDEX(Lists!$E$4:$E$14,MATCH($K407,Lists!$A$4:$A$14,0)),""))</f>
        <v/>
      </c>
      <c r="AB407" s="27" t="str">
        <f aca="false">IF($U407&lt;&gt;"",$U407,IF(OR($T407="",$M407&lt;&gt;"Active"),"",$T407+N($R407)))</f>
        <v/>
      </c>
      <c r="AC407" s="25" t="str">
        <f aca="false">IF(OR($T407="",$J407=""),"",$T407-$J407)</f>
        <v/>
      </c>
      <c r="AD407" s="25" t="str">
        <f aca="false">IF(AND($K407="Joined",$U407&lt;&gt;"",$J407&lt;&gt;""),$U407-$J407,"")</f>
        <v/>
      </c>
      <c r="AE407" s="25" t="str">
        <f aca="false">IF($K407="","",IF(OR($K407="Rejected",$K407="Withdrawn"),IFERROR(INDEX(Lists!$B$4:$B$14,MATCH($N407,Lists!$A$4:$A$14,0)),1),IFERROR(INDEX(Lists!$B$4:$B$14,MATCH($K407,Lists!$A$4:$A$14,0)),0)))</f>
        <v/>
      </c>
    </row>
    <row r="408" customFormat="false" ht="15" hidden="false" customHeight="false" outlineLevel="0" collapsed="false">
      <c r="A408" s="25" t="str">
        <f aca="false">IF($B408="","","C-"&amp;TEXT(ROW()-1,"0000"))</f>
        <v/>
      </c>
      <c r="B408" s="21"/>
      <c r="C408" s="21"/>
      <c r="D408" s="21"/>
      <c r="E408" s="21"/>
      <c r="F408" s="25" t="str">
        <f aca="false">IF($E408="","",IFERROR(INDEX(Requisitions!$B$2:$B$101,MATCH($E408,Requisitions!$A$2:$A$101,0)),"Unknown Req"))</f>
        <v/>
      </c>
      <c r="G408" s="25" t="str">
        <f aca="false">IF($E408="","",IFERROR(INDEX(Requisitions!$D$2:$D$101,MATCH($E408,Requisitions!$A$2:$A$101,0)),""))</f>
        <v/>
      </c>
      <c r="H408" s="21"/>
      <c r="I408" s="21"/>
      <c r="J408" s="22"/>
      <c r="K408" s="21"/>
      <c r="L408" s="22"/>
      <c r="M408" s="25" t="str">
        <f aca="false">IF($K408="","",IFERROR(INDEX(Lists!$D$4:$D$14,MATCH($K408,Lists!$A$4:$A$14,0)),"Check stage"))</f>
        <v/>
      </c>
      <c r="N408" s="21"/>
      <c r="O408" s="21"/>
      <c r="P408" s="26"/>
      <c r="Q408" s="26"/>
      <c r="R408" s="21"/>
      <c r="S408" s="21"/>
      <c r="T408" s="22"/>
      <c r="U408" s="22"/>
      <c r="V408" s="24" t="str">
        <f aca="false">IF(OR(N($P408)=0,$Q408=""),"",$Q408/$P408-1)</f>
        <v/>
      </c>
      <c r="W408" s="25" t="str">
        <f aca="true">IF($J408="","",IF($M408="Active",TODAY(),IF($U408&lt;&gt;"",$U408,IF($L408&lt;&gt;"",$L408,TODAY())))-$J408)</f>
        <v/>
      </c>
      <c r="X408" s="25" t="str">
        <f aca="true">IF(OR($L408="",$M408&lt;&gt;"Active"),"",TODAY()-$L408)</f>
        <v/>
      </c>
      <c r="Y408" s="25" t="str">
        <f aca="false">IF($M408&lt;&gt;"Active","",INDEX(Lists!$C$4:$C$14,MATCH($K408,Lists!$A$4:$A$14,0)))</f>
        <v/>
      </c>
      <c r="Z408" s="25" t="str">
        <f aca="false">IF($B408="","",IF($M408&lt;&gt;"Active","Closed",IF($X408="","",IF($X408&gt;$Y408,"BREACH","On Track"))))</f>
        <v/>
      </c>
      <c r="AA408" s="25" t="str">
        <f aca="false">IF($K408="","",IFERROR(INDEX(Lists!$E$4:$E$14,MATCH($K408,Lists!$A$4:$A$14,0)),""))</f>
        <v/>
      </c>
      <c r="AB408" s="27" t="str">
        <f aca="false">IF($U408&lt;&gt;"",$U408,IF(OR($T408="",$M408&lt;&gt;"Active"),"",$T408+N($R408)))</f>
        <v/>
      </c>
      <c r="AC408" s="25" t="str">
        <f aca="false">IF(OR($T408="",$J408=""),"",$T408-$J408)</f>
        <v/>
      </c>
      <c r="AD408" s="25" t="str">
        <f aca="false">IF(AND($K408="Joined",$U408&lt;&gt;"",$J408&lt;&gt;""),$U408-$J408,"")</f>
        <v/>
      </c>
      <c r="AE408" s="25" t="str">
        <f aca="false">IF($K408="","",IF(OR($K408="Rejected",$K408="Withdrawn"),IFERROR(INDEX(Lists!$B$4:$B$14,MATCH($N408,Lists!$A$4:$A$14,0)),1),IFERROR(INDEX(Lists!$B$4:$B$14,MATCH($K408,Lists!$A$4:$A$14,0)),0)))</f>
        <v/>
      </c>
    </row>
    <row r="409" customFormat="false" ht="15" hidden="false" customHeight="false" outlineLevel="0" collapsed="false">
      <c r="A409" s="25" t="str">
        <f aca="false">IF($B409="","","C-"&amp;TEXT(ROW()-1,"0000"))</f>
        <v/>
      </c>
      <c r="B409" s="21"/>
      <c r="C409" s="21"/>
      <c r="D409" s="21"/>
      <c r="E409" s="21"/>
      <c r="F409" s="25" t="str">
        <f aca="false">IF($E409="","",IFERROR(INDEX(Requisitions!$B$2:$B$101,MATCH($E409,Requisitions!$A$2:$A$101,0)),"Unknown Req"))</f>
        <v/>
      </c>
      <c r="G409" s="25" t="str">
        <f aca="false">IF($E409="","",IFERROR(INDEX(Requisitions!$D$2:$D$101,MATCH($E409,Requisitions!$A$2:$A$101,0)),""))</f>
        <v/>
      </c>
      <c r="H409" s="21"/>
      <c r="I409" s="21"/>
      <c r="J409" s="22"/>
      <c r="K409" s="21"/>
      <c r="L409" s="22"/>
      <c r="M409" s="25" t="str">
        <f aca="false">IF($K409="","",IFERROR(INDEX(Lists!$D$4:$D$14,MATCH($K409,Lists!$A$4:$A$14,0)),"Check stage"))</f>
        <v/>
      </c>
      <c r="N409" s="21"/>
      <c r="O409" s="21"/>
      <c r="P409" s="26"/>
      <c r="Q409" s="26"/>
      <c r="R409" s="21"/>
      <c r="S409" s="21"/>
      <c r="T409" s="22"/>
      <c r="U409" s="22"/>
      <c r="V409" s="24" t="str">
        <f aca="false">IF(OR(N($P409)=0,$Q409=""),"",$Q409/$P409-1)</f>
        <v/>
      </c>
      <c r="W409" s="25" t="str">
        <f aca="true">IF($J409="","",IF($M409="Active",TODAY(),IF($U409&lt;&gt;"",$U409,IF($L409&lt;&gt;"",$L409,TODAY())))-$J409)</f>
        <v/>
      </c>
      <c r="X409" s="25" t="str">
        <f aca="true">IF(OR($L409="",$M409&lt;&gt;"Active"),"",TODAY()-$L409)</f>
        <v/>
      </c>
      <c r="Y409" s="25" t="str">
        <f aca="false">IF($M409&lt;&gt;"Active","",INDEX(Lists!$C$4:$C$14,MATCH($K409,Lists!$A$4:$A$14,0)))</f>
        <v/>
      </c>
      <c r="Z409" s="25" t="str">
        <f aca="false">IF($B409="","",IF($M409&lt;&gt;"Active","Closed",IF($X409="","",IF($X409&gt;$Y409,"BREACH","On Track"))))</f>
        <v/>
      </c>
      <c r="AA409" s="25" t="str">
        <f aca="false">IF($K409="","",IFERROR(INDEX(Lists!$E$4:$E$14,MATCH($K409,Lists!$A$4:$A$14,0)),""))</f>
        <v/>
      </c>
      <c r="AB409" s="27" t="str">
        <f aca="false">IF($U409&lt;&gt;"",$U409,IF(OR($T409="",$M409&lt;&gt;"Active"),"",$T409+N($R409)))</f>
        <v/>
      </c>
      <c r="AC409" s="25" t="str">
        <f aca="false">IF(OR($T409="",$J409=""),"",$T409-$J409)</f>
        <v/>
      </c>
      <c r="AD409" s="25" t="str">
        <f aca="false">IF(AND($K409="Joined",$U409&lt;&gt;"",$J409&lt;&gt;""),$U409-$J409,"")</f>
        <v/>
      </c>
      <c r="AE409" s="25" t="str">
        <f aca="false">IF($K409="","",IF(OR($K409="Rejected",$K409="Withdrawn"),IFERROR(INDEX(Lists!$B$4:$B$14,MATCH($N409,Lists!$A$4:$A$14,0)),1),IFERROR(INDEX(Lists!$B$4:$B$14,MATCH($K409,Lists!$A$4:$A$14,0)),0)))</f>
        <v/>
      </c>
    </row>
    <row r="410" customFormat="false" ht="15" hidden="false" customHeight="false" outlineLevel="0" collapsed="false">
      <c r="A410" s="25" t="str">
        <f aca="false">IF($B410="","","C-"&amp;TEXT(ROW()-1,"0000"))</f>
        <v/>
      </c>
      <c r="B410" s="21"/>
      <c r="C410" s="21"/>
      <c r="D410" s="21"/>
      <c r="E410" s="21"/>
      <c r="F410" s="25" t="str">
        <f aca="false">IF($E410="","",IFERROR(INDEX(Requisitions!$B$2:$B$101,MATCH($E410,Requisitions!$A$2:$A$101,0)),"Unknown Req"))</f>
        <v/>
      </c>
      <c r="G410" s="25" t="str">
        <f aca="false">IF($E410="","",IFERROR(INDEX(Requisitions!$D$2:$D$101,MATCH($E410,Requisitions!$A$2:$A$101,0)),""))</f>
        <v/>
      </c>
      <c r="H410" s="21"/>
      <c r="I410" s="21"/>
      <c r="J410" s="22"/>
      <c r="K410" s="21"/>
      <c r="L410" s="22"/>
      <c r="M410" s="25" t="str">
        <f aca="false">IF($K410="","",IFERROR(INDEX(Lists!$D$4:$D$14,MATCH($K410,Lists!$A$4:$A$14,0)),"Check stage"))</f>
        <v/>
      </c>
      <c r="N410" s="21"/>
      <c r="O410" s="21"/>
      <c r="P410" s="26"/>
      <c r="Q410" s="26"/>
      <c r="R410" s="21"/>
      <c r="S410" s="21"/>
      <c r="T410" s="22"/>
      <c r="U410" s="22"/>
      <c r="V410" s="24" t="str">
        <f aca="false">IF(OR(N($P410)=0,$Q410=""),"",$Q410/$P410-1)</f>
        <v/>
      </c>
      <c r="W410" s="25" t="str">
        <f aca="true">IF($J410="","",IF($M410="Active",TODAY(),IF($U410&lt;&gt;"",$U410,IF($L410&lt;&gt;"",$L410,TODAY())))-$J410)</f>
        <v/>
      </c>
      <c r="X410" s="25" t="str">
        <f aca="true">IF(OR($L410="",$M410&lt;&gt;"Active"),"",TODAY()-$L410)</f>
        <v/>
      </c>
      <c r="Y410" s="25" t="str">
        <f aca="false">IF($M410&lt;&gt;"Active","",INDEX(Lists!$C$4:$C$14,MATCH($K410,Lists!$A$4:$A$14,0)))</f>
        <v/>
      </c>
      <c r="Z410" s="25" t="str">
        <f aca="false">IF($B410="","",IF($M410&lt;&gt;"Active","Closed",IF($X410="","",IF($X410&gt;$Y410,"BREACH","On Track"))))</f>
        <v/>
      </c>
      <c r="AA410" s="25" t="str">
        <f aca="false">IF($K410="","",IFERROR(INDEX(Lists!$E$4:$E$14,MATCH($K410,Lists!$A$4:$A$14,0)),""))</f>
        <v/>
      </c>
      <c r="AB410" s="27" t="str">
        <f aca="false">IF($U410&lt;&gt;"",$U410,IF(OR($T410="",$M410&lt;&gt;"Active"),"",$T410+N($R410)))</f>
        <v/>
      </c>
      <c r="AC410" s="25" t="str">
        <f aca="false">IF(OR($T410="",$J410=""),"",$T410-$J410)</f>
        <v/>
      </c>
      <c r="AD410" s="25" t="str">
        <f aca="false">IF(AND($K410="Joined",$U410&lt;&gt;"",$J410&lt;&gt;""),$U410-$J410,"")</f>
        <v/>
      </c>
      <c r="AE410" s="25" t="str">
        <f aca="false">IF($K410="","",IF(OR($K410="Rejected",$K410="Withdrawn"),IFERROR(INDEX(Lists!$B$4:$B$14,MATCH($N410,Lists!$A$4:$A$14,0)),1),IFERROR(INDEX(Lists!$B$4:$B$14,MATCH($K410,Lists!$A$4:$A$14,0)),0)))</f>
        <v/>
      </c>
    </row>
    <row r="411" customFormat="false" ht="15" hidden="false" customHeight="false" outlineLevel="0" collapsed="false">
      <c r="A411" s="25" t="str">
        <f aca="false">IF($B411="","","C-"&amp;TEXT(ROW()-1,"0000"))</f>
        <v/>
      </c>
      <c r="B411" s="21"/>
      <c r="C411" s="21"/>
      <c r="D411" s="21"/>
      <c r="E411" s="21"/>
      <c r="F411" s="25" t="str">
        <f aca="false">IF($E411="","",IFERROR(INDEX(Requisitions!$B$2:$B$101,MATCH($E411,Requisitions!$A$2:$A$101,0)),"Unknown Req"))</f>
        <v/>
      </c>
      <c r="G411" s="25" t="str">
        <f aca="false">IF($E411="","",IFERROR(INDEX(Requisitions!$D$2:$D$101,MATCH($E411,Requisitions!$A$2:$A$101,0)),""))</f>
        <v/>
      </c>
      <c r="H411" s="21"/>
      <c r="I411" s="21"/>
      <c r="J411" s="22"/>
      <c r="K411" s="21"/>
      <c r="L411" s="22"/>
      <c r="M411" s="25" t="str">
        <f aca="false">IF($K411="","",IFERROR(INDEX(Lists!$D$4:$D$14,MATCH($K411,Lists!$A$4:$A$14,0)),"Check stage"))</f>
        <v/>
      </c>
      <c r="N411" s="21"/>
      <c r="O411" s="21"/>
      <c r="P411" s="26"/>
      <c r="Q411" s="26"/>
      <c r="R411" s="21"/>
      <c r="S411" s="21"/>
      <c r="T411" s="22"/>
      <c r="U411" s="22"/>
      <c r="V411" s="24" t="str">
        <f aca="false">IF(OR(N($P411)=0,$Q411=""),"",$Q411/$P411-1)</f>
        <v/>
      </c>
      <c r="W411" s="25" t="str">
        <f aca="true">IF($J411="","",IF($M411="Active",TODAY(),IF($U411&lt;&gt;"",$U411,IF($L411&lt;&gt;"",$L411,TODAY())))-$J411)</f>
        <v/>
      </c>
      <c r="X411" s="25" t="str">
        <f aca="true">IF(OR($L411="",$M411&lt;&gt;"Active"),"",TODAY()-$L411)</f>
        <v/>
      </c>
      <c r="Y411" s="25" t="str">
        <f aca="false">IF($M411&lt;&gt;"Active","",INDEX(Lists!$C$4:$C$14,MATCH($K411,Lists!$A$4:$A$14,0)))</f>
        <v/>
      </c>
      <c r="Z411" s="25" t="str">
        <f aca="false">IF($B411="","",IF($M411&lt;&gt;"Active","Closed",IF($X411="","",IF($X411&gt;$Y411,"BREACH","On Track"))))</f>
        <v/>
      </c>
      <c r="AA411" s="25" t="str">
        <f aca="false">IF($K411="","",IFERROR(INDEX(Lists!$E$4:$E$14,MATCH($K411,Lists!$A$4:$A$14,0)),""))</f>
        <v/>
      </c>
      <c r="AB411" s="27" t="str">
        <f aca="false">IF($U411&lt;&gt;"",$U411,IF(OR($T411="",$M411&lt;&gt;"Active"),"",$T411+N($R411)))</f>
        <v/>
      </c>
      <c r="AC411" s="25" t="str">
        <f aca="false">IF(OR($T411="",$J411=""),"",$T411-$J411)</f>
        <v/>
      </c>
      <c r="AD411" s="25" t="str">
        <f aca="false">IF(AND($K411="Joined",$U411&lt;&gt;"",$J411&lt;&gt;""),$U411-$J411,"")</f>
        <v/>
      </c>
      <c r="AE411" s="25" t="str">
        <f aca="false">IF($K411="","",IF(OR($K411="Rejected",$K411="Withdrawn"),IFERROR(INDEX(Lists!$B$4:$B$14,MATCH($N411,Lists!$A$4:$A$14,0)),1),IFERROR(INDEX(Lists!$B$4:$B$14,MATCH($K411,Lists!$A$4:$A$14,0)),0)))</f>
        <v/>
      </c>
    </row>
    <row r="412" customFormat="false" ht="15" hidden="false" customHeight="false" outlineLevel="0" collapsed="false">
      <c r="A412" s="25" t="str">
        <f aca="false">IF($B412="","","C-"&amp;TEXT(ROW()-1,"0000"))</f>
        <v/>
      </c>
      <c r="B412" s="21"/>
      <c r="C412" s="21"/>
      <c r="D412" s="21"/>
      <c r="E412" s="21"/>
      <c r="F412" s="25" t="str">
        <f aca="false">IF($E412="","",IFERROR(INDEX(Requisitions!$B$2:$B$101,MATCH($E412,Requisitions!$A$2:$A$101,0)),"Unknown Req"))</f>
        <v/>
      </c>
      <c r="G412" s="25" t="str">
        <f aca="false">IF($E412="","",IFERROR(INDEX(Requisitions!$D$2:$D$101,MATCH($E412,Requisitions!$A$2:$A$101,0)),""))</f>
        <v/>
      </c>
      <c r="H412" s="21"/>
      <c r="I412" s="21"/>
      <c r="J412" s="22"/>
      <c r="K412" s="21"/>
      <c r="L412" s="22"/>
      <c r="M412" s="25" t="str">
        <f aca="false">IF($K412="","",IFERROR(INDEX(Lists!$D$4:$D$14,MATCH($K412,Lists!$A$4:$A$14,0)),"Check stage"))</f>
        <v/>
      </c>
      <c r="N412" s="21"/>
      <c r="O412" s="21"/>
      <c r="P412" s="26"/>
      <c r="Q412" s="26"/>
      <c r="R412" s="21"/>
      <c r="S412" s="21"/>
      <c r="T412" s="22"/>
      <c r="U412" s="22"/>
      <c r="V412" s="24" t="str">
        <f aca="false">IF(OR(N($P412)=0,$Q412=""),"",$Q412/$P412-1)</f>
        <v/>
      </c>
      <c r="W412" s="25" t="str">
        <f aca="true">IF($J412="","",IF($M412="Active",TODAY(),IF($U412&lt;&gt;"",$U412,IF($L412&lt;&gt;"",$L412,TODAY())))-$J412)</f>
        <v/>
      </c>
      <c r="X412" s="25" t="str">
        <f aca="true">IF(OR($L412="",$M412&lt;&gt;"Active"),"",TODAY()-$L412)</f>
        <v/>
      </c>
      <c r="Y412" s="25" t="str">
        <f aca="false">IF($M412&lt;&gt;"Active","",INDEX(Lists!$C$4:$C$14,MATCH($K412,Lists!$A$4:$A$14,0)))</f>
        <v/>
      </c>
      <c r="Z412" s="25" t="str">
        <f aca="false">IF($B412="","",IF($M412&lt;&gt;"Active","Closed",IF($X412="","",IF($X412&gt;$Y412,"BREACH","On Track"))))</f>
        <v/>
      </c>
      <c r="AA412" s="25" t="str">
        <f aca="false">IF($K412="","",IFERROR(INDEX(Lists!$E$4:$E$14,MATCH($K412,Lists!$A$4:$A$14,0)),""))</f>
        <v/>
      </c>
      <c r="AB412" s="27" t="str">
        <f aca="false">IF($U412&lt;&gt;"",$U412,IF(OR($T412="",$M412&lt;&gt;"Active"),"",$T412+N($R412)))</f>
        <v/>
      </c>
      <c r="AC412" s="25" t="str">
        <f aca="false">IF(OR($T412="",$J412=""),"",$T412-$J412)</f>
        <v/>
      </c>
      <c r="AD412" s="25" t="str">
        <f aca="false">IF(AND($K412="Joined",$U412&lt;&gt;"",$J412&lt;&gt;""),$U412-$J412,"")</f>
        <v/>
      </c>
      <c r="AE412" s="25" t="str">
        <f aca="false">IF($K412="","",IF(OR($K412="Rejected",$K412="Withdrawn"),IFERROR(INDEX(Lists!$B$4:$B$14,MATCH($N412,Lists!$A$4:$A$14,0)),1),IFERROR(INDEX(Lists!$B$4:$B$14,MATCH($K412,Lists!$A$4:$A$14,0)),0)))</f>
        <v/>
      </c>
    </row>
    <row r="413" customFormat="false" ht="15" hidden="false" customHeight="false" outlineLevel="0" collapsed="false">
      <c r="A413" s="25" t="str">
        <f aca="false">IF($B413="","","C-"&amp;TEXT(ROW()-1,"0000"))</f>
        <v/>
      </c>
      <c r="B413" s="21"/>
      <c r="C413" s="21"/>
      <c r="D413" s="21"/>
      <c r="E413" s="21"/>
      <c r="F413" s="25" t="str">
        <f aca="false">IF($E413="","",IFERROR(INDEX(Requisitions!$B$2:$B$101,MATCH($E413,Requisitions!$A$2:$A$101,0)),"Unknown Req"))</f>
        <v/>
      </c>
      <c r="G413" s="25" t="str">
        <f aca="false">IF($E413="","",IFERROR(INDEX(Requisitions!$D$2:$D$101,MATCH($E413,Requisitions!$A$2:$A$101,0)),""))</f>
        <v/>
      </c>
      <c r="H413" s="21"/>
      <c r="I413" s="21"/>
      <c r="J413" s="22"/>
      <c r="K413" s="21"/>
      <c r="L413" s="22"/>
      <c r="M413" s="25" t="str">
        <f aca="false">IF($K413="","",IFERROR(INDEX(Lists!$D$4:$D$14,MATCH($K413,Lists!$A$4:$A$14,0)),"Check stage"))</f>
        <v/>
      </c>
      <c r="N413" s="21"/>
      <c r="O413" s="21"/>
      <c r="P413" s="26"/>
      <c r="Q413" s="26"/>
      <c r="R413" s="21"/>
      <c r="S413" s="21"/>
      <c r="T413" s="22"/>
      <c r="U413" s="22"/>
      <c r="V413" s="24" t="str">
        <f aca="false">IF(OR(N($P413)=0,$Q413=""),"",$Q413/$P413-1)</f>
        <v/>
      </c>
      <c r="W413" s="25" t="str">
        <f aca="true">IF($J413="","",IF($M413="Active",TODAY(),IF($U413&lt;&gt;"",$U413,IF($L413&lt;&gt;"",$L413,TODAY())))-$J413)</f>
        <v/>
      </c>
      <c r="X413" s="25" t="str">
        <f aca="true">IF(OR($L413="",$M413&lt;&gt;"Active"),"",TODAY()-$L413)</f>
        <v/>
      </c>
      <c r="Y413" s="25" t="str">
        <f aca="false">IF($M413&lt;&gt;"Active","",INDEX(Lists!$C$4:$C$14,MATCH($K413,Lists!$A$4:$A$14,0)))</f>
        <v/>
      </c>
      <c r="Z413" s="25" t="str">
        <f aca="false">IF($B413="","",IF($M413&lt;&gt;"Active","Closed",IF($X413="","",IF($X413&gt;$Y413,"BREACH","On Track"))))</f>
        <v/>
      </c>
      <c r="AA413" s="25" t="str">
        <f aca="false">IF($K413="","",IFERROR(INDEX(Lists!$E$4:$E$14,MATCH($K413,Lists!$A$4:$A$14,0)),""))</f>
        <v/>
      </c>
      <c r="AB413" s="27" t="str">
        <f aca="false">IF($U413&lt;&gt;"",$U413,IF(OR($T413="",$M413&lt;&gt;"Active"),"",$T413+N($R413)))</f>
        <v/>
      </c>
      <c r="AC413" s="25" t="str">
        <f aca="false">IF(OR($T413="",$J413=""),"",$T413-$J413)</f>
        <v/>
      </c>
      <c r="AD413" s="25" t="str">
        <f aca="false">IF(AND($K413="Joined",$U413&lt;&gt;"",$J413&lt;&gt;""),$U413-$J413,"")</f>
        <v/>
      </c>
      <c r="AE413" s="25" t="str">
        <f aca="false">IF($K413="","",IF(OR($K413="Rejected",$K413="Withdrawn"),IFERROR(INDEX(Lists!$B$4:$B$14,MATCH($N413,Lists!$A$4:$A$14,0)),1),IFERROR(INDEX(Lists!$B$4:$B$14,MATCH($K413,Lists!$A$4:$A$14,0)),0)))</f>
        <v/>
      </c>
    </row>
    <row r="414" customFormat="false" ht="15" hidden="false" customHeight="false" outlineLevel="0" collapsed="false">
      <c r="A414" s="25" t="str">
        <f aca="false">IF($B414="","","C-"&amp;TEXT(ROW()-1,"0000"))</f>
        <v/>
      </c>
      <c r="B414" s="21"/>
      <c r="C414" s="21"/>
      <c r="D414" s="21"/>
      <c r="E414" s="21"/>
      <c r="F414" s="25" t="str">
        <f aca="false">IF($E414="","",IFERROR(INDEX(Requisitions!$B$2:$B$101,MATCH($E414,Requisitions!$A$2:$A$101,0)),"Unknown Req"))</f>
        <v/>
      </c>
      <c r="G414" s="25" t="str">
        <f aca="false">IF($E414="","",IFERROR(INDEX(Requisitions!$D$2:$D$101,MATCH($E414,Requisitions!$A$2:$A$101,0)),""))</f>
        <v/>
      </c>
      <c r="H414" s="21"/>
      <c r="I414" s="21"/>
      <c r="J414" s="22"/>
      <c r="K414" s="21"/>
      <c r="L414" s="22"/>
      <c r="M414" s="25" t="str">
        <f aca="false">IF($K414="","",IFERROR(INDEX(Lists!$D$4:$D$14,MATCH($K414,Lists!$A$4:$A$14,0)),"Check stage"))</f>
        <v/>
      </c>
      <c r="N414" s="21"/>
      <c r="O414" s="21"/>
      <c r="P414" s="26"/>
      <c r="Q414" s="26"/>
      <c r="R414" s="21"/>
      <c r="S414" s="21"/>
      <c r="T414" s="22"/>
      <c r="U414" s="22"/>
      <c r="V414" s="24" t="str">
        <f aca="false">IF(OR(N($P414)=0,$Q414=""),"",$Q414/$P414-1)</f>
        <v/>
      </c>
      <c r="W414" s="25" t="str">
        <f aca="true">IF($J414="","",IF($M414="Active",TODAY(),IF($U414&lt;&gt;"",$U414,IF($L414&lt;&gt;"",$L414,TODAY())))-$J414)</f>
        <v/>
      </c>
      <c r="X414" s="25" t="str">
        <f aca="true">IF(OR($L414="",$M414&lt;&gt;"Active"),"",TODAY()-$L414)</f>
        <v/>
      </c>
      <c r="Y414" s="25" t="str">
        <f aca="false">IF($M414&lt;&gt;"Active","",INDEX(Lists!$C$4:$C$14,MATCH($K414,Lists!$A$4:$A$14,0)))</f>
        <v/>
      </c>
      <c r="Z414" s="25" t="str">
        <f aca="false">IF($B414="","",IF($M414&lt;&gt;"Active","Closed",IF($X414="","",IF($X414&gt;$Y414,"BREACH","On Track"))))</f>
        <v/>
      </c>
      <c r="AA414" s="25" t="str">
        <f aca="false">IF($K414="","",IFERROR(INDEX(Lists!$E$4:$E$14,MATCH($K414,Lists!$A$4:$A$14,0)),""))</f>
        <v/>
      </c>
      <c r="AB414" s="27" t="str">
        <f aca="false">IF($U414&lt;&gt;"",$U414,IF(OR($T414="",$M414&lt;&gt;"Active"),"",$T414+N($R414)))</f>
        <v/>
      </c>
      <c r="AC414" s="25" t="str">
        <f aca="false">IF(OR($T414="",$J414=""),"",$T414-$J414)</f>
        <v/>
      </c>
      <c r="AD414" s="25" t="str">
        <f aca="false">IF(AND($K414="Joined",$U414&lt;&gt;"",$J414&lt;&gt;""),$U414-$J414,"")</f>
        <v/>
      </c>
      <c r="AE414" s="25" t="str">
        <f aca="false">IF($K414="","",IF(OR($K414="Rejected",$K414="Withdrawn"),IFERROR(INDEX(Lists!$B$4:$B$14,MATCH($N414,Lists!$A$4:$A$14,0)),1),IFERROR(INDEX(Lists!$B$4:$B$14,MATCH($K414,Lists!$A$4:$A$14,0)),0)))</f>
        <v/>
      </c>
    </row>
    <row r="415" customFormat="false" ht="15" hidden="false" customHeight="false" outlineLevel="0" collapsed="false">
      <c r="A415" s="25" t="str">
        <f aca="false">IF($B415="","","C-"&amp;TEXT(ROW()-1,"0000"))</f>
        <v/>
      </c>
      <c r="B415" s="21"/>
      <c r="C415" s="21"/>
      <c r="D415" s="21"/>
      <c r="E415" s="21"/>
      <c r="F415" s="25" t="str">
        <f aca="false">IF($E415="","",IFERROR(INDEX(Requisitions!$B$2:$B$101,MATCH($E415,Requisitions!$A$2:$A$101,0)),"Unknown Req"))</f>
        <v/>
      </c>
      <c r="G415" s="25" t="str">
        <f aca="false">IF($E415="","",IFERROR(INDEX(Requisitions!$D$2:$D$101,MATCH($E415,Requisitions!$A$2:$A$101,0)),""))</f>
        <v/>
      </c>
      <c r="H415" s="21"/>
      <c r="I415" s="21"/>
      <c r="J415" s="22"/>
      <c r="K415" s="21"/>
      <c r="L415" s="22"/>
      <c r="M415" s="25" t="str">
        <f aca="false">IF($K415="","",IFERROR(INDEX(Lists!$D$4:$D$14,MATCH($K415,Lists!$A$4:$A$14,0)),"Check stage"))</f>
        <v/>
      </c>
      <c r="N415" s="21"/>
      <c r="O415" s="21"/>
      <c r="P415" s="26"/>
      <c r="Q415" s="26"/>
      <c r="R415" s="21"/>
      <c r="S415" s="21"/>
      <c r="T415" s="22"/>
      <c r="U415" s="22"/>
      <c r="V415" s="24" t="str">
        <f aca="false">IF(OR(N($P415)=0,$Q415=""),"",$Q415/$P415-1)</f>
        <v/>
      </c>
      <c r="W415" s="25" t="str">
        <f aca="true">IF($J415="","",IF($M415="Active",TODAY(),IF($U415&lt;&gt;"",$U415,IF($L415&lt;&gt;"",$L415,TODAY())))-$J415)</f>
        <v/>
      </c>
      <c r="X415" s="25" t="str">
        <f aca="true">IF(OR($L415="",$M415&lt;&gt;"Active"),"",TODAY()-$L415)</f>
        <v/>
      </c>
      <c r="Y415" s="25" t="str">
        <f aca="false">IF($M415&lt;&gt;"Active","",INDEX(Lists!$C$4:$C$14,MATCH($K415,Lists!$A$4:$A$14,0)))</f>
        <v/>
      </c>
      <c r="Z415" s="25" t="str">
        <f aca="false">IF($B415="","",IF($M415&lt;&gt;"Active","Closed",IF($X415="","",IF($X415&gt;$Y415,"BREACH","On Track"))))</f>
        <v/>
      </c>
      <c r="AA415" s="25" t="str">
        <f aca="false">IF($K415="","",IFERROR(INDEX(Lists!$E$4:$E$14,MATCH($K415,Lists!$A$4:$A$14,0)),""))</f>
        <v/>
      </c>
      <c r="AB415" s="27" t="str">
        <f aca="false">IF($U415&lt;&gt;"",$U415,IF(OR($T415="",$M415&lt;&gt;"Active"),"",$T415+N($R415)))</f>
        <v/>
      </c>
      <c r="AC415" s="25" t="str">
        <f aca="false">IF(OR($T415="",$J415=""),"",$T415-$J415)</f>
        <v/>
      </c>
      <c r="AD415" s="25" t="str">
        <f aca="false">IF(AND($K415="Joined",$U415&lt;&gt;"",$J415&lt;&gt;""),$U415-$J415,"")</f>
        <v/>
      </c>
      <c r="AE415" s="25" t="str">
        <f aca="false">IF($K415="","",IF(OR($K415="Rejected",$K415="Withdrawn"),IFERROR(INDEX(Lists!$B$4:$B$14,MATCH($N415,Lists!$A$4:$A$14,0)),1),IFERROR(INDEX(Lists!$B$4:$B$14,MATCH($K415,Lists!$A$4:$A$14,0)),0)))</f>
        <v/>
      </c>
    </row>
    <row r="416" customFormat="false" ht="15" hidden="false" customHeight="false" outlineLevel="0" collapsed="false">
      <c r="A416" s="25" t="str">
        <f aca="false">IF($B416="","","C-"&amp;TEXT(ROW()-1,"0000"))</f>
        <v/>
      </c>
      <c r="B416" s="21"/>
      <c r="C416" s="21"/>
      <c r="D416" s="21"/>
      <c r="E416" s="21"/>
      <c r="F416" s="25" t="str">
        <f aca="false">IF($E416="","",IFERROR(INDEX(Requisitions!$B$2:$B$101,MATCH($E416,Requisitions!$A$2:$A$101,0)),"Unknown Req"))</f>
        <v/>
      </c>
      <c r="G416" s="25" t="str">
        <f aca="false">IF($E416="","",IFERROR(INDEX(Requisitions!$D$2:$D$101,MATCH($E416,Requisitions!$A$2:$A$101,0)),""))</f>
        <v/>
      </c>
      <c r="H416" s="21"/>
      <c r="I416" s="21"/>
      <c r="J416" s="22"/>
      <c r="K416" s="21"/>
      <c r="L416" s="22"/>
      <c r="M416" s="25" t="str">
        <f aca="false">IF($K416="","",IFERROR(INDEX(Lists!$D$4:$D$14,MATCH($K416,Lists!$A$4:$A$14,0)),"Check stage"))</f>
        <v/>
      </c>
      <c r="N416" s="21"/>
      <c r="O416" s="21"/>
      <c r="P416" s="26"/>
      <c r="Q416" s="26"/>
      <c r="R416" s="21"/>
      <c r="S416" s="21"/>
      <c r="T416" s="22"/>
      <c r="U416" s="22"/>
      <c r="V416" s="24" t="str">
        <f aca="false">IF(OR(N($P416)=0,$Q416=""),"",$Q416/$P416-1)</f>
        <v/>
      </c>
      <c r="W416" s="25" t="str">
        <f aca="true">IF($J416="","",IF($M416="Active",TODAY(),IF($U416&lt;&gt;"",$U416,IF($L416&lt;&gt;"",$L416,TODAY())))-$J416)</f>
        <v/>
      </c>
      <c r="X416" s="25" t="str">
        <f aca="true">IF(OR($L416="",$M416&lt;&gt;"Active"),"",TODAY()-$L416)</f>
        <v/>
      </c>
      <c r="Y416" s="25" t="str">
        <f aca="false">IF($M416&lt;&gt;"Active","",INDEX(Lists!$C$4:$C$14,MATCH($K416,Lists!$A$4:$A$14,0)))</f>
        <v/>
      </c>
      <c r="Z416" s="25" t="str">
        <f aca="false">IF($B416="","",IF($M416&lt;&gt;"Active","Closed",IF($X416="","",IF($X416&gt;$Y416,"BREACH","On Track"))))</f>
        <v/>
      </c>
      <c r="AA416" s="25" t="str">
        <f aca="false">IF($K416="","",IFERROR(INDEX(Lists!$E$4:$E$14,MATCH($K416,Lists!$A$4:$A$14,0)),""))</f>
        <v/>
      </c>
      <c r="AB416" s="27" t="str">
        <f aca="false">IF($U416&lt;&gt;"",$U416,IF(OR($T416="",$M416&lt;&gt;"Active"),"",$T416+N($R416)))</f>
        <v/>
      </c>
      <c r="AC416" s="25" t="str">
        <f aca="false">IF(OR($T416="",$J416=""),"",$T416-$J416)</f>
        <v/>
      </c>
      <c r="AD416" s="25" t="str">
        <f aca="false">IF(AND($K416="Joined",$U416&lt;&gt;"",$J416&lt;&gt;""),$U416-$J416,"")</f>
        <v/>
      </c>
      <c r="AE416" s="25" t="str">
        <f aca="false">IF($K416="","",IF(OR($K416="Rejected",$K416="Withdrawn"),IFERROR(INDEX(Lists!$B$4:$B$14,MATCH($N416,Lists!$A$4:$A$14,0)),1),IFERROR(INDEX(Lists!$B$4:$B$14,MATCH($K416,Lists!$A$4:$A$14,0)),0)))</f>
        <v/>
      </c>
    </row>
    <row r="417" customFormat="false" ht="15" hidden="false" customHeight="false" outlineLevel="0" collapsed="false">
      <c r="A417" s="25" t="str">
        <f aca="false">IF($B417="","","C-"&amp;TEXT(ROW()-1,"0000"))</f>
        <v/>
      </c>
      <c r="B417" s="21"/>
      <c r="C417" s="21"/>
      <c r="D417" s="21"/>
      <c r="E417" s="21"/>
      <c r="F417" s="25" t="str">
        <f aca="false">IF($E417="","",IFERROR(INDEX(Requisitions!$B$2:$B$101,MATCH($E417,Requisitions!$A$2:$A$101,0)),"Unknown Req"))</f>
        <v/>
      </c>
      <c r="G417" s="25" t="str">
        <f aca="false">IF($E417="","",IFERROR(INDEX(Requisitions!$D$2:$D$101,MATCH($E417,Requisitions!$A$2:$A$101,0)),""))</f>
        <v/>
      </c>
      <c r="H417" s="21"/>
      <c r="I417" s="21"/>
      <c r="J417" s="22"/>
      <c r="K417" s="21"/>
      <c r="L417" s="22"/>
      <c r="M417" s="25" t="str">
        <f aca="false">IF($K417="","",IFERROR(INDEX(Lists!$D$4:$D$14,MATCH($K417,Lists!$A$4:$A$14,0)),"Check stage"))</f>
        <v/>
      </c>
      <c r="N417" s="21"/>
      <c r="O417" s="21"/>
      <c r="P417" s="26"/>
      <c r="Q417" s="26"/>
      <c r="R417" s="21"/>
      <c r="S417" s="21"/>
      <c r="T417" s="22"/>
      <c r="U417" s="22"/>
      <c r="V417" s="24" t="str">
        <f aca="false">IF(OR(N($P417)=0,$Q417=""),"",$Q417/$P417-1)</f>
        <v/>
      </c>
      <c r="W417" s="25" t="str">
        <f aca="true">IF($J417="","",IF($M417="Active",TODAY(),IF($U417&lt;&gt;"",$U417,IF($L417&lt;&gt;"",$L417,TODAY())))-$J417)</f>
        <v/>
      </c>
      <c r="X417" s="25" t="str">
        <f aca="true">IF(OR($L417="",$M417&lt;&gt;"Active"),"",TODAY()-$L417)</f>
        <v/>
      </c>
      <c r="Y417" s="25" t="str">
        <f aca="false">IF($M417&lt;&gt;"Active","",INDEX(Lists!$C$4:$C$14,MATCH($K417,Lists!$A$4:$A$14,0)))</f>
        <v/>
      </c>
      <c r="Z417" s="25" t="str">
        <f aca="false">IF($B417="","",IF($M417&lt;&gt;"Active","Closed",IF($X417="","",IF($X417&gt;$Y417,"BREACH","On Track"))))</f>
        <v/>
      </c>
      <c r="AA417" s="25" t="str">
        <f aca="false">IF($K417="","",IFERROR(INDEX(Lists!$E$4:$E$14,MATCH($K417,Lists!$A$4:$A$14,0)),""))</f>
        <v/>
      </c>
      <c r="AB417" s="27" t="str">
        <f aca="false">IF($U417&lt;&gt;"",$U417,IF(OR($T417="",$M417&lt;&gt;"Active"),"",$T417+N($R417)))</f>
        <v/>
      </c>
      <c r="AC417" s="25" t="str">
        <f aca="false">IF(OR($T417="",$J417=""),"",$T417-$J417)</f>
        <v/>
      </c>
      <c r="AD417" s="25" t="str">
        <f aca="false">IF(AND($K417="Joined",$U417&lt;&gt;"",$J417&lt;&gt;""),$U417-$J417,"")</f>
        <v/>
      </c>
      <c r="AE417" s="25" t="str">
        <f aca="false">IF($K417="","",IF(OR($K417="Rejected",$K417="Withdrawn"),IFERROR(INDEX(Lists!$B$4:$B$14,MATCH($N417,Lists!$A$4:$A$14,0)),1),IFERROR(INDEX(Lists!$B$4:$B$14,MATCH($K417,Lists!$A$4:$A$14,0)),0)))</f>
        <v/>
      </c>
    </row>
    <row r="418" customFormat="false" ht="15" hidden="false" customHeight="false" outlineLevel="0" collapsed="false">
      <c r="A418" s="25" t="str">
        <f aca="false">IF($B418="","","C-"&amp;TEXT(ROW()-1,"0000"))</f>
        <v/>
      </c>
      <c r="B418" s="21"/>
      <c r="C418" s="21"/>
      <c r="D418" s="21"/>
      <c r="E418" s="21"/>
      <c r="F418" s="25" t="str">
        <f aca="false">IF($E418="","",IFERROR(INDEX(Requisitions!$B$2:$B$101,MATCH($E418,Requisitions!$A$2:$A$101,0)),"Unknown Req"))</f>
        <v/>
      </c>
      <c r="G418" s="25" t="str">
        <f aca="false">IF($E418="","",IFERROR(INDEX(Requisitions!$D$2:$D$101,MATCH($E418,Requisitions!$A$2:$A$101,0)),""))</f>
        <v/>
      </c>
      <c r="H418" s="21"/>
      <c r="I418" s="21"/>
      <c r="J418" s="22"/>
      <c r="K418" s="21"/>
      <c r="L418" s="22"/>
      <c r="M418" s="25" t="str">
        <f aca="false">IF($K418="","",IFERROR(INDEX(Lists!$D$4:$D$14,MATCH($K418,Lists!$A$4:$A$14,0)),"Check stage"))</f>
        <v/>
      </c>
      <c r="N418" s="21"/>
      <c r="O418" s="21"/>
      <c r="P418" s="26"/>
      <c r="Q418" s="26"/>
      <c r="R418" s="21"/>
      <c r="S418" s="21"/>
      <c r="T418" s="22"/>
      <c r="U418" s="22"/>
      <c r="V418" s="24" t="str">
        <f aca="false">IF(OR(N($P418)=0,$Q418=""),"",$Q418/$P418-1)</f>
        <v/>
      </c>
      <c r="W418" s="25" t="str">
        <f aca="true">IF($J418="","",IF($M418="Active",TODAY(),IF($U418&lt;&gt;"",$U418,IF($L418&lt;&gt;"",$L418,TODAY())))-$J418)</f>
        <v/>
      </c>
      <c r="X418" s="25" t="str">
        <f aca="true">IF(OR($L418="",$M418&lt;&gt;"Active"),"",TODAY()-$L418)</f>
        <v/>
      </c>
      <c r="Y418" s="25" t="str">
        <f aca="false">IF($M418&lt;&gt;"Active","",INDEX(Lists!$C$4:$C$14,MATCH($K418,Lists!$A$4:$A$14,0)))</f>
        <v/>
      </c>
      <c r="Z418" s="25" t="str">
        <f aca="false">IF($B418="","",IF($M418&lt;&gt;"Active","Closed",IF($X418="","",IF($X418&gt;$Y418,"BREACH","On Track"))))</f>
        <v/>
      </c>
      <c r="AA418" s="25" t="str">
        <f aca="false">IF($K418="","",IFERROR(INDEX(Lists!$E$4:$E$14,MATCH($K418,Lists!$A$4:$A$14,0)),""))</f>
        <v/>
      </c>
      <c r="AB418" s="27" t="str">
        <f aca="false">IF($U418&lt;&gt;"",$U418,IF(OR($T418="",$M418&lt;&gt;"Active"),"",$T418+N($R418)))</f>
        <v/>
      </c>
      <c r="AC418" s="25" t="str">
        <f aca="false">IF(OR($T418="",$J418=""),"",$T418-$J418)</f>
        <v/>
      </c>
      <c r="AD418" s="25" t="str">
        <f aca="false">IF(AND($K418="Joined",$U418&lt;&gt;"",$J418&lt;&gt;""),$U418-$J418,"")</f>
        <v/>
      </c>
      <c r="AE418" s="25" t="str">
        <f aca="false">IF($K418="","",IF(OR($K418="Rejected",$K418="Withdrawn"),IFERROR(INDEX(Lists!$B$4:$B$14,MATCH($N418,Lists!$A$4:$A$14,0)),1),IFERROR(INDEX(Lists!$B$4:$B$14,MATCH($K418,Lists!$A$4:$A$14,0)),0)))</f>
        <v/>
      </c>
    </row>
    <row r="419" customFormat="false" ht="15" hidden="false" customHeight="false" outlineLevel="0" collapsed="false">
      <c r="A419" s="25" t="str">
        <f aca="false">IF($B419="","","C-"&amp;TEXT(ROW()-1,"0000"))</f>
        <v/>
      </c>
      <c r="B419" s="21"/>
      <c r="C419" s="21"/>
      <c r="D419" s="21"/>
      <c r="E419" s="21"/>
      <c r="F419" s="25" t="str">
        <f aca="false">IF($E419="","",IFERROR(INDEX(Requisitions!$B$2:$B$101,MATCH($E419,Requisitions!$A$2:$A$101,0)),"Unknown Req"))</f>
        <v/>
      </c>
      <c r="G419" s="25" t="str">
        <f aca="false">IF($E419="","",IFERROR(INDEX(Requisitions!$D$2:$D$101,MATCH($E419,Requisitions!$A$2:$A$101,0)),""))</f>
        <v/>
      </c>
      <c r="H419" s="21"/>
      <c r="I419" s="21"/>
      <c r="J419" s="22"/>
      <c r="K419" s="21"/>
      <c r="L419" s="22"/>
      <c r="M419" s="25" t="str">
        <f aca="false">IF($K419="","",IFERROR(INDEX(Lists!$D$4:$D$14,MATCH($K419,Lists!$A$4:$A$14,0)),"Check stage"))</f>
        <v/>
      </c>
      <c r="N419" s="21"/>
      <c r="O419" s="21"/>
      <c r="P419" s="26"/>
      <c r="Q419" s="26"/>
      <c r="R419" s="21"/>
      <c r="S419" s="21"/>
      <c r="T419" s="22"/>
      <c r="U419" s="22"/>
      <c r="V419" s="24" t="str">
        <f aca="false">IF(OR(N($P419)=0,$Q419=""),"",$Q419/$P419-1)</f>
        <v/>
      </c>
      <c r="W419" s="25" t="str">
        <f aca="true">IF($J419="","",IF($M419="Active",TODAY(),IF($U419&lt;&gt;"",$U419,IF($L419&lt;&gt;"",$L419,TODAY())))-$J419)</f>
        <v/>
      </c>
      <c r="X419" s="25" t="str">
        <f aca="true">IF(OR($L419="",$M419&lt;&gt;"Active"),"",TODAY()-$L419)</f>
        <v/>
      </c>
      <c r="Y419" s="25" t="str">
        <f aca="false">IF($M419&lt;&gt;"Active","",INDEX(Lists!$C$4:$C$14,MATCH($K419,Lists!$A$4:$A$14,0)))</f>
        <v/>
      </c>
      <c r="Z419" s="25" t="str">
        <f aca="false">IF($B419="","",IF($M419&lt;&gt;"Active","Closed",IF($X419="","",IF($X419&gt;$Y419,"BREACH","On Track"))))</f>
        <v/>
      </c>
      <c r="AA419" s="25" t="str">
        <f aca="false">IF($K419="","",IFERROR(INDEX(Lists!$E$4:$E$14,MATCH($K419,Lists!$A$4:$A$14,0)),""))</f>
        <v/>
      </c>
      <c r="AB419" s="27" t="str">
        <f aca="false">IF($U419&lt;&gt;"",$U419,IF(OR($T419="",$M419&lt;&gt;"Active"),"",$T419+N($R419)))</f>
        <v/>
      </c>
      <c r="AC419" s="25" t="str">
        <f aca="false">IF(OR($T419="",$J419=""),"",$T419-$J419)</f>
        <v/>
      </c>
      <c r="AD419" s="25" t="str">
        <f aca="false">IF(AND($K419="Joined",$U419&lt;&gt;"",$J419&lt;&gt;""),$U419-$J419,"")</f>
        <v/>
      </c>
      <c r="AE419" s="25" t="str">
        <f aca="false">IF($K419="","",IF(OR($K419="Rejected",$K419="Withdrawn"),IFERROR(INDEX(Lists!$B$4:$B$14,MATCH($N419,Lists!$A$4:$A$14,0)),1),IFERROR(INDEX(Lists!$B$4:$B$14,MATCH($K419,Lists!$A$4:$A$14,0)),0)))</f>
        <v/>
      </c>
    </row>
    <row r="420" customFormat="false" ht="15" hidden="false" customHeight="false" outlineLevel="0" collapsed="false">
      <c r="A420" s="25" t="str">
        <f aca="false">IF($B420="","","C-"&amp;TEXT(ROW()-1,"0000"))</f>
        <v/>
      </c>
      <c r="B420" s="21"/>
      <c r="C420" s="21"/>
      <c r="D420" s="21"/>
      <c r="E420" s="21"/>
      <c r="F420" s="25" t="str">
        <f aca="false">IF($E420="","",IFERROR(INDEX(Requisitions!$B$2:$B$101,MATCH($E420,Requisitions!$A$2:$A$101,0)),"Unknown Req"))</f>
        <v/>
      </c>
      <c r="G420" s="25" t="str">
        <f aca="false">IF($E420="","",IFERROR(INDEX(Requisitions!$D$2:$D$101,MATCH($E420,Requisitions!$A$2:$A$101,0)),""))</f>
        <v/>
      </c>
      <c r="H420" s="21"/>
      <c r="I420" s="21"/>
      <c r="J420" s="22"/>
      <c r="K420" s="21"/>
      <c r="L420" s="22"/>
      <c r="M420" s="25" t="str">
        <f aca="false">IF($K420="","",IFERROR(INDEX(Lists!$D$4:$D$14,MATCH($K420,Lists!$A$4:$A$14,0)),"Check stage"))</f>
        <v/>
      </c>
      <c r="N420" s="21"/>
      <c r="O420" s="21"/>
      <c r="P420" s="26"/>
      <c r="Q420" s="26"/>
      <c r="R420" s="21"/>
      <c r="S420" s="21"/>
      <c r="T420" s="22"/>
      <c r="U420" s="22"/>
      <c r="V420" s="24" t="str">
        <f aca="false">IF(OR(N($P420)=0,$Q420=""),"",$Q420/$P420-1)</f>
        <v/>
      </c>
      <c r="W420" s="25" t="str">
        <f aca="true">IF($J420="","",IF($M420="Active",TODAY(),IF($U420&lt;&gt;"",$U420,IF($L420&lt;&gt;"",$L420,TODAY())))-$J420)</f>
        <v/>
      </c>
      <c r="X420" s="25" t="str">
        <f aca="true">IF(OR($L420="",$M420&lt;&gt;"Active"),"",TODAY()-$L420)</f>
        <v/>
      </c>
      <c r="Y420" s="25" t="str">
        <f aca="false">IF($M420&lt;&gt;"Active","",INDEX(Lists!$C$4:$C$14,MATCH($K420,Lists!$A$4:$A$14,0)))</f>
        <v/>
      </c>
      <c r="Z420" s="25" t="str">
        <f aca="false">IF($B420="","",IF($M420&lt;&gt;"Active","Closed",IF($X420="","",IF($X420&gt;$Y420,"BREACH","On Track"))))</f>
        <v/>
      </c>
      <c r="AA420" s="25" t="str">
        <f aca="false">IF($K420="","",IFERROR(INDEX(Lists!$E$4:$E$14,MATCH($K420,Lists!$A$4:$A$14,0)),""))</f>
        <v/>
      </c>
      <c r="AB420" s="27" t="str">
        <f aca="false">IF($U420&lt;&gt;"",$U420,IF(OR($T420="",$M420&lt;&gt;"Active"),"",$T420+N($R420)))</f>
        <v/>
      </c>
      <c r="AC420" s="25" t="str">
        <f aca="false">IF(OR($T420="",$J420=""),"",$T420-$J420)</f>
        <v/>
      </c>
      <c r="AD420" s="25" t="str">
        <f aca="false">IF(AND($K420="Joined",$U420&lt;&gt;"",$J420&lt;&gt;""),$U420-$J420,"")</f>
        <v/>
      </c>
      <c r="AE420" s="25" t="str">
        <f aca="false">IF($K420="","",IF(OR($K420="Rejected",$K420="Withdrawn"),IFERROR(INDEX(Lists!$B$4:$B$14,MATCH($N420,Lists!$A$4:$A$14,0)),1),IFERROR(INDEX(Lists!$B$4:$B$14,MATCH($K420,Lists!$A$4:$A$14,0)),0)))</f>
        <v/>
      </c>
    </row>
    <row r="421" customFormat="false" ht="15" hidden="false" customHeight="false" outlineLevel="0" collapsed="false">
      <c r="A421" s="25" t="str">
        <f aca="false">IF($B421="","","C-"&amp;TEXT(ROW()-1,"0000"))</f>
        <v/>
      </c>
      <c r="B421" s="21"/>
      <c r="C421" s="21"/>
      <c r="D421" s="21"/>
      <c r="E421" s="21"/>
      <c r="F421" s="25" t="str">
        <f aca="false">IF($E421="","",IFERROR(INDEX(Requisitions!$B$2:$B$101,MATCH($E421,Requisitions!$A$2:$A$101,0)),"Unknown Req"))</f>
        <v/>
      </c>
      <c r="G421" s="25" t="str">
        <f aca="false">IF($E421="","",IFERROR(INDEX(Requisitions!$D$2:$D$101,MATCH($E421,Requisitions!$A$2:$A$101,0)),""))</f>
        <v/>
      </c>
      <c r="H421" s="21"/>
      <c r="I421" s="21"/>
      <c r="J421" s="22"/>
      <c r="K421" s="21"/>
      <c r="L421" s="22"/>
      <c r="M421" s="25" t="str">
        <f aca="false">IF($K421="","",IFERROR(INDEX(Lists!$D$4:$D$14,MATCH($K421,Lists!$A$4:$A$14,0)),"Check stage"))</f>
        <v/>
      </c>
      <c r="N421" s="21"/>
      <c r="O421" s="21"/>
      <c r="P421" s="26"/>
      <c r="Q421" s="26"/>
      <c r="R421" s="21"/>
      <c r="S421" s="21"/>
      <c r="T421" s="22"/>
      <c r="U421" s="22"/>
      <c r="V421" s="24" t="str">
        <f aca="false">IF(OR(N($P421)=0,$Q421=""),"",$Q421/$P421-1)</f>
        <v/>
      </c>
      <c r="W421" s="25" t="str">
        <f aca="true">IF($J421="","",IF($M421="Active",TODAY(),IF($U421&lt;&gt;"",$U421,IF($L421&lt;&gt;"",$L421,TODAY())))-$J421)</f>
        <v/>
      </c>
      <c r="X421" s="25" t="str">
        <f aca="true">IF(OR($L421="",$M421&lt;&gt;"Active"),"",TODAY()-$L421)</f>
        <v/>
      </c>
      <c r="Y421" s="25" t="str">
        <f aca="false">IF($M421&lt;&gt;"Active","",INDEX(Lists!$C$4:$C$14,MATCH($K421,Lists!$A$4:$A$14,0)))</f>
        <v/>
      </c>
      <c r="Z421" s="25" t="str">
        <f aca="false">IF($B421="","",IF($M421&lt;&gt;"Active","Closed",IF($X421="","",IF($X421&gt;$Y421,"BREACH","On Track"))))</f>
        <v/>
      </c>
      <c r="AA421" s="25" t="str">
        <f aca="false">IF($K421="","",IFERROR(INDEX(Lists!$E$4:$E$14,MATCH($K421,Lists!$A$4:$A$14,0)),""))</f>
        <v/>
      </c>
      <c r="AB421" s="27" t="str">
        <f aca="false">IF($U421&lt;&gt;"",$U421,IF(OR($T421="",$M421&lt;&gt;"Active"),"",$T421+N($R421)))</f>
        <v/>
      </c>
      <c r="AC421" s="25" t="str">
        <f aca="false">IF(OR($T421="",$J421=""),"",$T421-$J421)</f>
        <v/>
      </c>
      <c r="AD421" s="25" t="str">
        <f aca="false">IF(AND($K421="Joined",$U421&lt;&gt;"",$J421&lt;&gt;""),$U421-$J421,"")</f>
        <v/>
      </c>
      <c r="AE421" s="25" t="str">
        <f aca="false">IF($K421="","",IF(OR($K421="Rejected",$K421="Withdrawn"),IFERROR(INDEX(Lists!$B$4:$B$14,MATCH($N421,Lists!$A$4:$A$14,0)),1),IFERROR(INDEX(Lists!$B$4:$B$14,MATCH($K421,Lists!$A$4:$A$14,0)),0)))</f>
        <v/>
      </c>
    </row>
    <row r="422" customFormat="false" ht="15" hidden="false" customHeight="false" outlineLevel="0" collapsed="false">
      <c r="A422" s="25" t="str">
        <f aca="false">IF($B422="","","C-"&amp;TEXT(ROW()-1,"0000"))</f>
        <v/>
      </c>
      <c r="B422" s="21"/>
      <c r="C422" s="21"/>
      <c r="D422" s="21"/>
      <c r="E422" s="21"/>
      <c r="F422" s="25" t="str">
        <f aca="false">IF($E422="","",IFERROR(INDEX(Requisitions!$B$2:$B$101,MATCH($E422,Requisitions!$A$2:$A$101,0)),"Unknown Req"))</f>
        <v/>
      </c>
      <c r="G422" s="25" t="str">
        <f aca="false">IF($E422="","",IFERROR(INDEX(Requisitions!$D$2:$D$101,MATCH($E422,Requisitions!$A$2:$A$101,0)),""))</f>
        <v/>
      </c>
      <c r="H422" s="21"/>
      <c r="I422" s="21"/>
      <c r="J422" s="22"/>
      <c r="K422" s="21"/>
      <c r="L422" s="22"/>
      <c r="M422" s="25" t="str">
        <f aca="false">IF($K422="","",IFERROR(INDEX(Lists!$D$4:$D$14,MATCH($K422,Lists!$A$4:$A$14,0)),"Check stage"))</f>
        <v/>
      </c>
      <c r="N422" s="21"/>
      <c r="O422" s="21"/>
      <c r="P422" s="26"/>
      <c r="Q422" s="26"/>
      <c r="R422" s="21"/>
      <c r="S422" s="21"/>
      <c r="T422" s="22"/>
      <c r="U422" s="22"/>
      <c r="V422" s="24" t="str">
        <f aca="false">IF(OR(N($P422)=0,$Q422=""),"",$Q422/$P422-1)</f>
        <v/>
      </c>
      <c r="W422" s="25" t="str">
        <f aca="true">IF($J422="","",IF($M422="Active",TODAY(),IF($U422&lt;&gt;"",$U422,IF($L422&lt;&gt;"",$L422,TODAY())))-$J422)</f>
        <v/>
      </c>
      <c r="X422" s="25" t="str">
        <f aca="true">IF(OR($L422="",$M422&lt;&gt;"Active"),"",TODAY()-$L422)</f>
        <v/>
      </c>
      <c r="Y422" s="25" t="str">
        <f aca="false">IF($M422&lt;&gt;"Active","",INDEX(Lists!$C$4:$C$14,MATCH($K422,Lists!$A$4:$A$14,0)))</f>
        <v/>
      </c>
      <c r="Z422" s="25" t="str">
        <f aca="false">IF($B422="","",IF($M422&lt;&gt;"Active","Closed",IF($X422="","",IF($X422&gt;$Y422,"BREACH","On Track"))))</f>
        <v/>
      </c>
      <c r="AA422" s="25" t="str">
        <f aca="false">IF($K422="","",IFERROR(INDEX(Lists!$E$4:$E$14,MATCH($K422,Lists!$A$4:$A$14,0)),""))</f>
        <v/>
      </c>
      <c r="AB422" s="27" t="str">
        <f aca="false">IF($U422&lt;&gt;"",$U422,IF(OR($T422="",$M422&lt;&gt;"Active"),"",$T422+N($R422)))</f>
        <v/>
      </c>
      <c r="AC422" s="25" t="str">
        <f aca="false">IF(OR($T422="",$J422=""),"",$T422-$J422)</f>
        <v/>
      </c>
      <c r="AD422" s="25" t="str">
        <f aca="false">IF(AND($K422="Joined",$U422&lt;&gt;"",$J422&lt;&gt;""),$U422-$J422,"")</f>
        <v/>
      </c>
      <c r="AE422" s="25" t="str">
        <f aca="false">IF($K422="","",IF(OR($K422="Rejected",$K422="Withdrawn"),IFERROR(INDEX(Lists!$B$4:$B$14,MATCH($N422,Lists!$A$4:$A$14,0)),1),IFERROR(INDEX(Lists!$B$4:$B$14,MATCH($K422,Lists!$A$4:$A$14,0)),0)))</f>
        <v/>
      </c>
    </row>
    <row r="423" customFormat="false" ht="15" hidden="false" customHeight="false" outlineLevel="0" collapsed="false">
      <c r="A423" s="25" t="str">
        <f aca="false">IF($B423="","","C-"&amp;TEXT(ROW()-1,"0000"))</f>
        <v/>
      </c>
      <c r="B423" s="21"/>
      <c r="C423" s="21"/>
      <c r="D423" s="21"/>
      <c r="E423" s="21"/>
      <c r="F423" s="25" t="str">
        <f aca="false">IF($E423="","",IFERROR(INDEX(Requisitions!$B$2:$B$101,MATCH($E423,Requisitions!$A$2:$A$101,0)),"Unknown Req"))</f>
        <v/>
      </c>
      <c r="G423" s="25" t="str">
        <f aca="false">IF($E423="","",IFERROR(INDEX(Requisitions!$D$2:$D$101,MATCH($E423,Requisitions!$A$2:$A$101,0)),""))</f>
        <v/>
      </c>
      <c r="H423" s="21"/>
      <c r="I423" s="21"/>
      <c r="J423" s="22"/>
      <c r="K423" s="21"/>
      <c r="L423" s="22"/>
      <c r="M423" s="25" t="str">
        <f aca="false">IF($K423="","",IFERROR(INDEX(Lists!$D$4:$D$14,MATCH($K423,Lists!$A$4:$A$14,0)),"Check stage"))</f>
        <v/>
      </c>
      <c r="N423" s="21"/>
      <c r="O423" s="21"/>
      <c r="P423" s="26"/>
      <c r="Q423" s="26"/>
      <c r="R423" s="21"/>
      <c r="S423" s="21"/>
      <c r="T423" s="22"/>
      <c r="U423" s="22"/>
      <c r="V423" s="24" t="str">
        <f aca="false">IF(OR(N($P423)=0,$Q423=""),"",$Q423/$P423-1)</f>
        <v/>
      </c>
      <c r="W423" s="25" t="str">
        <f aca="true">IF($J423="","",IF($M423="Active",TODAY(),IF($U423&lt;&gt;"",$U423,IF($L423&lt;&gt;"",$L423,TODAY())))-$J423)</f>
        <v/>
      </c>
      <c r="X423" s="25" t="str">
        <f aca="true">IF(OR($L423="",$M423&lt;&gt;"Active"),"",TODAY()-$L423)</f>
        <v/>
      </c>
      <c r="Y423" s="25" t="str">
        <f aca="false">IF($M423&lt;&gt;"Active","",INDEX(Lists!$C$4:$C$14,MATCH($K423,Lists!$A$4:$A$14,0)))</f>
        <v/>
      </c>
      <c r="Z423" s="25" t="str">
        <f aca="false">IF($B423="","",IF($M423&lt;&gt;"Active","Closed",IF($X423="","",IF($X423&gt;$Y423,"BREACH","On Track"))))</f>
        <v/>
      </c>
      <c r="AA423" s="25" t="str">
        <f aca="false">IF($K423="","",IFERROR(INDEX(Lists!$E$4:$E$14,MATCH($K423,Lists!$A$4:$A$14,0)),""))</f>
        <v/>
      </c>
      <c r="AB423" s="27" t="str">
        <f aca="false">IF($U423&lt;&gt;"",$U423,IF(OR($T423="",$M423&lt;&gt;"Active"),"",$T423+N($R423)))</f>
        <v/>
      </c>
      <c r="AC423" s="25" t="str">
        <f aca="false">IF(OR($T423="",$J423=""),"",$T423-$J423)</f>
        <v/>
      </c>
      <c r="AD423" s="25" t="str">
        <f aca="false">IF(AND($K423="Joined",$U423&lt;&gt;"",$J423&lt;&gt;""),$U423-$J423,"")</f>
        <v/>
      </c>
      <c r="AE423" s="25" t="str">
        <f aca="false">IF($K423="","",IF(OR($K423="Rejected",$K423="Withdrawn"),IFERROR(INDEX(Lists!$B$4:$B$14,MATCH($N423,Lists!$A$4:$A$14,0)),1),IFERROR(INDEX(Lists!$B$4:$B$14,MATCH($K423,Lists!$A$4:$A$14,0)),0)))</f>
        <v/>
      </c>
    </row>
    <row r="424" customFormat="false" ht="15" hidden="false" customHeight="false" outlineLevel="0" collapsed="false">
      <c r="A424" s="25" t="str">
        <f aca="false">IF($B424="","","C-"&amp;TEXT(ROW()-1,"0000"))</f>
        <v/>
      </c>
      <c r="B424" s="21"/>
      <c r="C424" s="21"/>
      <c r="D424" s="21"/>
      <c r="E424" s="21"/>
      <c r="F424" s="25" t="str">
        <f aca="false">IF($E424="","",IFERROR(INDEX(Requisitions!$B$2:$B$101,MATCH($E424,Requisitions!$A$2:$A$101,0)),"Unknown Req"))</f>
        <v/>
      </c>
      <c r="G424" s="25" t="str">
        <f aca="false">IF($E424="","",IFERROR(INDEX(Requisitions!$D$2:$D$101,MATCH($E424,Requisitions!$A$2:$A$101,0)),""))</f>
        <v/>
      </c>
      <c r="H424" s="21"/>
      <c r="I424" s="21"/>
      <c r="J424" s="22"/>
      <c r="K424" s="21"/>
      <c r="L424" s="22"/>
      <c r="M424" s="25" t="str">
        <f aca="false">IF($K424="","",IFERROR(INDEX(Lists!$D$4:$D$14,MATCH($K424,Lists!$A$4:$A$14,0)),"Check stage"))</f>
        <v/>
      </c>
      <c r="N424" s="21"/>
      <c r="O424" s="21"/>
      <c r="P424" s="26"/>
      <c r="Q424" s="26"/>
      <c r="R424" s="21"/>
      <c r="S424" s="21"/>
      <c r="T424" s="22"/>
      <c r="U424" s="22"/>
      <c r="V424" s="24" t="str">
        <f aca="false">IF(OR(N($P424)=0,$Q424=""),"",$Q424/$P424-1)</f>
        <v/>
      </c>
      <c r="W424" s="25" t="str">
        <f aca="true">IF($J424="","",IF($M424="Active",TODAY(),IF($U424&lt;&gt;"",$U424,IF($L424&lt;&gt;"",$L424,TODAY())))-$J424)</f>
        <v/>
      </c>
      <c r="X424" s="25" t="str">
        <f aca="true">IF(OR($L424="",$M424&lt;&gt;"Active"),"",TODAY()-$L424)</f>
        <v/>
      </c>
      <c r="Y424" s="25" t="str">
        <f aca="false">IF($M424&lt;&gt;"Active","",INDEX(Lists!$C$4:$C$14,MATCH($K424,Lists!$A$4:$A$14,0)))</f>
        <v/>
      </c>
      <c r="Z424" s="25" t="str">
        <f aca="false">IF($B424="","",IF($M424&lt;&gt;"Active","Closed",IF($X424="","",IF($X424&gt;$Y424,"BREACH","On Track"))))</f>
        <v/>
      </c>
      <c r="AA424" s="25" t="str">
        <f aca="false">IF($K424="","",IFERROR(INDEX(Lists!$E$4:$E$14,MATCH($K424,Lists!$A$4:$A$14,0)),""))</f>
        <v/>
      </c>
      <c r="AB424" s="27" t="str">
        <f aca="false">IF($U424&lt;&gt;"",$U424,IF(OR($T424="",$M424&lt;&gt;"Active"),"",$T424+N($R424)))</f>
        <v/>
      </c>
      <c r="AC424" s="25" t="str">
        <f aca="false">IF(OR($T424="",$J424=""),"",$T424-$J424)</f>
        <v/>
      </c>
      <c r="AD424" s="25" t="str">
        <f aca="false">IF(AND($K424="Joined",$U424&lt;&gt;"",$J424&lt;&gt;""),$U424-$J424,"")</f>
        <v/>
      </c>
      <c r="AE424" s="25" t="str">
        <f aca="false">IF($K424="","",IF(OR($K424="Rejected",$K424="Withdrawn"),IFERROR(INDEX(Lists!$B$4:$B$14,MATCH($N424,Lists!$A$4:$A$14,0)),1),IFERROR(INDEX(Lists!$B$4:$B$14,MATCH($K424,Lists!$A$4:$A$14,0)),0)))</f>
        <v/>
      </c>
    </row>
    <row r="425" customFormat="false" ht="15" hidden="false" customHeight="false" outlineLevel="0" collapsed="false">
      <c r="A425" s="25" t="str">
        <f aca="false">IF($B425="","","C-"&amp;TEXT(ROW()-1,"0000"))</f>
        <v/>
      </c>
      <c r="B425" s="21"/>
      <c r="C425" s="21"/>
      <c r="D425" s="21"/>
      <c r="E425" s="21"/>
      <c r="F425" s="25" t="str">
        <f aca="false">IF($E425="","",IFERROR(INDEX(Requisitions!$B$2:$B$101,MATCH($E425,Requisitions!$A$2:$A$101,0)),"Unknown Req"))</f>
        <v/>
      </c>
      <c r="G425" s="25" t="str">
        <f aca="false">IF($E425="","",IFERROR(INDEX(Requisitions!$D$2:$D$101,MATCH($E425,Requisitions!$A$2:$A$101,0)),""))</f>
        <v/>
      </c>
      <c r="H425" s="21"/>
      <c r="I425" s="21"/>
      <c r="J425" s="22"/>
      <c r="K425" s="21"/>
      <c r="L425" s="22"/>
      <c r="M425" s="25" t="str">
        <f aca="false">IF($K425="","",IFERROR(INDEX(Lists!$D$4:$D$14,MATCH($K425,Lists!$A$4:$A$14,0)),"Check stage"))</f>
        <v/>
      </c>
      <c r="N425" s="21"/>
      <c r="O425" s="21"/>
      <c r="P425" s="26"/>
      <c r="Q425" s="26"/>
      <c r="R425" s="21"/>
      <c r="S425" s="21"/>
      <c r="T425" s="22"/>
      <c r="U425" s="22"/>
      <c r="V425" s="24" t="str">
        <f aca="false">IF(OR(N($P425)=0,$Q425=""),"",$Q425/$P425-1)</f>
        <v/>
      </c>
      <c r="W425" s="25" t="str">
        <f aca="true">IF($J425="","",IF($M425="Active",TODAY(),IF($U425&lt;&gt;"",$U425,IF($L425&lt;&gt;"",$L425,TODAY())))-$J425)</f>
        <v/>
      </c>
      <c r="X425" s="25" t="str">
        <f aca="true">IF(OR($L425="",$M425&lt;&gt;"Active"),"",TODAY()-$L425)</f>
        <v/>
      </c>
      <c r="Y425" s="25" t="str">
        <f aca="false">IF($M425&lt;&gt;"Active","",INDEX(Lists!$C$4:$C$14,MATCH($K425,Lists!$A$4:$A$14,0)))</f>
        <v/>
      </c>
      <c r="Z425" s="25" t="str">
        <f aca="false">IF($B425="","",IF($M425&lt;&gt;"Active","Closed",IF($X425="","",IF($X425&gt;$Y425,"BREACH","On Track"))))</f>
        <v/>
      </c>
      <c r="AA425" s="25" t="str">
        <f aca="false">IF($K425="","",IFERROR(INDEX(Lists!$E$4:$E$14,MATCH($K425,Lists!$A$4:$A$14,0)),""))</f>
        <v/>
      </c>
      <c r="AB425" s="27" t="str">
        <f aca="false">IF($U425&lt;&gt;"",$U425,IF(OR($T425="",$M425&lt;&gt;"Active"),"",$T425+N($R425)))</f>
        <v/>
      </c>
      <c r="AC425" s="25" t="str">
        <f aca="false">IF(OR($T425="",$J425=""),"",$T425-$J425)</f>
        <v/>
      </c>
      <c r="AD425" s="25" t="str">
        <f aca="false">IF(AND($K425="Joined",$U425&lt;&gt;"",$J425&lt;&gt;""),$U425-$J425,"")</f>
        <v/>
      </c>
      <c r="AE425" s="25" t="str">
        <f aca="false">IF($K425="","",IF(OR($K425="Rejected",$K425="Withdrawn"),IFERROR(INDEX(Lists!$B$4:$B$14,MATCH($N425,Lists!$A$4:$A$14,0)),1),IFERROR(INDEX(Lists!$B$4:$B$14,MATCH($K425,Lists!$A$4:$A$14,0)),0)))</f>
        <v/>
      </c>
    </row>
    <row r="426" customFormat="false" ht="15" hidden="false" customHeight="false" outlineLevel="0" collapsed="false">
      <c r="A426" s="25" t="str">
        <f aca="false">IF($B426="","","C-"&amp;TEXT(ROW()-1,"0000"))</f>
        <v/>
      </c>
      <c r="B426" s="21"/>
      <c r="C426" s="21"/>
      <c r="D426" s="21"/>
      <c r="E426" s="21"/>
      <c r="F426" s="25" t="str">
        <f aca="false">IF($E426="","",IFERROR(INDEX(Requisitions!$B$2:$B$101,MATCH($E426,Requisitions!$A$2:$A$101,0)),"Unknown Req"))</f>
        <v/>
      </c>
      <c r="G426" s="25" t="str">
        <f aca="false">IF($E426="","",IFERROR(INDEX(Requisitions!$D$2:$D$101,MATCH($E426,Requisitions!$A$2:$A$101,0)),""))</f>
        <v/>
      </c>
      <c r="H426" s="21"/>
      <c r="I426" s="21"/>
      <c r="J426" s="22"/>
      <c r="K426" s="21"/>
      <c r="L426" s="22"/>
      <c r="M426" s="25" t="str">
        <f aca="false">IF($K426="","",IFERROR(INDEX(Lists!$D$4:$D$14,MATCH($K426,Lists!$A$4:$A$14,0)),"Check stage"))</f>
        <v/>
      </c>
      <c r="N426" s="21"/>
      <c r="O426" s="21"/>
      <c r="P426" s="26"/>
      <c r="Q426" s="26"/>
      <c r="R426" s="21"/>
      <c r="S426" s="21"/>
      <c r="T426" s="22"/>
      <c r="U426" s="22"/>
      <c r="V426" s="24" t="str">
        <f aca="false">IF(OR(N($P426)=0,$Q426=""),"",$Q426/$P426-1)</f>
        <v/>
      </c>
      <c r="W426" s="25" t="str">
        <f aca="true">IF($J426="","",IF($M426="Active",TODAY(),IF($U426&lt;&gt;"",$U426,IF($L426&lt;&gt;"",$L426,TODAY())))-$J426)</f>
        <v/>
      </c>
      <c r="X426" s="25" t="str">
        <f aca="true">IF(OR($L426="",$M426&lt;&gt;"Active"),"",TODAY()-$L426)</f>
        <v/>
      </c>
      <c r="Y426" s="25" t="str">
        <f aca="false">IF($M426&lt;&gt;"Active","",INDEX(Lists!$C$4:$C$14,MATCH($K426,Lists!$A$4:$A$14,0)))</f>
        <v/>
      </c>
      <c r="Z426" s="25" t="str">
        <f aca="false">IF($B426="","",IF($M426&lt;&gt;"Active","Closed",IF($X426="","",IF($X426&gt;$Y426,"BREACH","On Track"))))</f>
        <v/>
      </c>
      <c r="AA426" s="25" t="str">
        <f aca="false">IF($K426="","",IFERROR(INDEX(Lists!$E$4:$E$14,MATCH($K426,Lists!$A$4:$A$14,0)),""))</f>
        <v/>
      </c>
      <c r="AB426" s="27" t="str">
        <f aca="false">IF($U426&lt;&gt;"",$U426,IF(OR($T426="",$M426&lt;&gt;"Active"),"",$T426+N($R426)))</f>
        <v/>
      </c>
      <c r="AC426" s="25" t="str">
        <f aca="false">IF(OR($T426="",$J426=""),"",$T426-$J426)</f>
        <v/>
      </c>
      <c r="AD426" s="25" t="str">
        <f aca="false">IF(AND($K426="Joined",$U426&lt;&gt;"",$J426&lt;&gt;""),$U426-$J426,"")</f>
        <v/>
      </c>
      <c r="AE426" s="25" t="str">
        <f aca="false">IF($K426="","",IF(OR($K426="Rejected",$K426="Withdrawn"),IFERROR(INDEX(Lists!$B$4:$B$14,MATCH($N426,Lists!$A$4:$A$14,0)),1),IFERROR(INDEX(Lists!$B$4:$B$14,MATCH($K426,Lists!$A$4:$A$14,0)),0)))</f>
        <v/>
      </c>
    </row>
    <row r="427" customFormat="false" ht="15" hidden="false" customHeight="false" outlineLevel="0" collapsed="false">
      <c r="A427" s="25" t="str">
        <f aca="false">IF($B427="","","C-"&amp;TEXT(ROW()-1,"0000"))</f>
        <v/>
      </c>
      <c r="B427" s="21"/>
      <c r="C427" s="21"/>
      <c r="D427" s="21"/>
      <c r="E427" s="21"/>
      <c r="F427" s="25" t="str">
        <f aca="false">IF($E427="","",IFERROR(INDEX(Requisitions!$B$2:$B$101,MATCH($E427,Requisitions!$A$2:$A$101,0)),"Unknown Req"))</f>
        <v/>
      </c>
      <c r="G427" s="25" t="str">
        <f aca="false">IF($E427="","",IFERROR(INDEX(Requisitions!$D$2:$D$101,MATCH($E427,Requisitions!$A$2:$A$101,0)),""))</f>
        <v/>
      </c>
      <c r="H427" s="21"/>
      <c r="I427" s="21"/>
      <c r="J427" s="22"/>
      <c r="K427" s="21"/>
      <c r="L427" s="22"/>
      <c r="M427" s="25" t="str">
        <f aca="false">IF($K427="","",IFERROR(INDEX(Lists!$D$4:$D$14,MATCH($K427,Lists!$A$4:$A$14,0)),"Check stage"))</f>
        <v/>
      </c>
      <c r="N427" s="21"/>
      <c r="O427" s="21"/>
      <c r="P427" s="26"/>
      <c r="Q427" s="26"/>
      <c r="R427" s="21"/>
      <c r="S427" s="21"/>
      <c r="T427" s="22"/>
      <c r="U427" s="22"/>
      <c r="V427" s="24" t="str">
        <f aca="false">IF(OR(N($P427)=0,$Q427=""),"",$Q427/$P427-1)</f>
        <v/>
      </c>
      <c r="W427" s="25" t="str">
        <f aca="true">IF($J427="","",IF($M427="Active",TODAY(),IF($U427&lt;&gt;"",$U427,IF($L427&lt;&gt;"",$L427,TODAY())))-$J427)</f>
        <v/>
      </c>
      <c r="X427" s="25" t="str">
        <f aca="true">IF(OR($L427="",$M427&lt;&gt;"Active"),"",TODAY()-$L427)</f>
        <v/>
      </c>
      <c r="Y427" s="25" t="str">
        <f aca="false">IF($M427&lt;&gt;"Active","",INDEX(Lists!$C$4:$C$14,MATCH($K427,Lists!$A$4:$A$14,0)))</f>
        <v/>
      </c>
      <c r="Z427" s="25" t="str">
        <f aca="false">IF($B427="","",IF($M427&lt;&gt;"Active","Closed",IF($X427="","",IF($X427&gt;$Y427,"BREACH","On Track"))))</f>
        <v/>
      </c>
      <c r="AA427" s="25" t="str">
        <f aca="false">IF($K427="","",IFERROR(INDEX(Lists!$E$4:$E$14,MATCH($K427,Lists!$A$4:$A$14,0)),""))</f>
        <v/>
      </c>
      <c r="AB427" s="27" t="str">
        <f aca="false">IF($U427&lt;&gt;"",$U427,IF(OR($T427="",$M427&lt;&gt;"Active"),"",$T427+N($R427)))</f>
        <v/>
      </c>
      <c r="AC427" s="25" t="str">
        <f aca="false">IF(OR($T427="",$J427=""),"",$T427-$J427)</f>
        <v/>
      </c>
      <c r="AD427" s="25" t="str">
        <f aca="false">IF(AND($K427="Joined",$U427&lt;&gt;"",$J427&lt;&gt;""),$U427-$J427,"")</f>
        <v/>
      </c>
      <c r="AE427" s="25" t="str">
        <f aca="false">IF($K427="","",IF(OR($K427="Rejected",$K427="Withdrawn"),IFERROR(INDEX(Lists!$B$4:$B$14,MATCH($N427,Lists!$A$4:$A$14,0)),1),IFERROR(INDEX(Lists!$B$4:$B$14,MATCH($K427,Lists!$A$4:$A$14,0)),0)))</f>
        <v/>
      </c>
    </row>
    <row r="428" customFormat="false" ht="15" hidden="false" customHeight="false" outlineLevel="0" collapsed="false">
      <c r="A428" s="25" t="str">
        <f aca="false">IF($B428="","","C-"&amp;TEXT(ROW()-1,"0000"))</f>
        <v/>
      </c>
      <c r="B428" s="21"/>
      <c r="C428" s="21"/>
      <c r="D428" s="21"/>
      <c r="E428" s="21"/>
      <c r="F428" s="25" t="str">
        <f aca="false">IF($E428="","",IFERROR(INDEX(Requisitions!$B$2:$B$101,MATCH($E428,Requisitions!$A$2:$A$101,0)),"Unknown Req"))</f>
        <v/>
      </c>
      <c r="G428" s="25" t="str">
        <f aca="false">IF($E428="","",IFERROR(INDEX(Requisitions!$D$2:$D$101,MATCH($E428,Requisitions!$A$2:$A$101,0)),""))</f>
        <v/>
      </c>
      <c r="H428" s="21"/>
      <c r="I428" s="21"/>
      <c r="J428" s="22"/>
      <c r="K428" s="21"/>
      <c r="L428" s="22"/>
      <c r="M428" s="25" t="str">
        <f aca="false">IF($K428="","",IFERROR(INDEX(Lists!$D$4:$D$14,MATCH($K428,Lists!$A$4:$A$14,0)),"Check stage"))</f>
        <v/>
      </c>
      <c r="N428" s="21"/>
      <c r="O428" s="21"/>
      <c r="P428" s="26"/>
      <c r="Q428" s="26"/>
      <c r="R428" s="21"/>
      <c r="S428" s="21"/>
      <c r="T428" s="22"/>
      <c r="U428" s="22"/>
      <c r="V428" s="24" t="str">
        <f aca="false">IF(OR(N($P428)=0,$Q428=""),"",$Q428/$P428-1)</f>
        <v/>
      </c>
      <c r="W428" s="25" t="str">
        <f aca="true">IF($J428="","",IF($M428="Active",TODAY(),IF($U428&lt;&gt;"",$U428,IF($L428&lt;&gt;"",$L428,TODAY())))-$J428)</f>
        <v/>
      </c>
      <c r="X428" s="25" t="str">
        <f aca="true">IF(OR($L428="",$M428&lt;&gt;"Active"),"",TODAY()-$L428)</f>
        <v/>
      </c>
      <c r="Y428" s="25" t="str">
        <f aca="false">IF($M428&lt;&gt;"Active","",INDEX(Lists!$C$4:$C$14,MATCH($K428,Lists!$A$4:$A$14,0)))</f>
        <v/>
      </c>
      <c r="Z428" s="25" t="str">
        <f aca="false">IF($B428="","",IF($M428&lt;&gt;"Active","Closed",IF($X428="","",IF($X428&gt;$Y428,"BREACH","On Track"))))</f>
        <v/>
      </c>
      <c r="AA428" s="25" t="str">
        <f aca="false">IF($K428="","",IFERROR(INDEX(Lists!$E$4:$E$14,MATCH($K428,Lists!$A$4:$A$14,0)),""))</f>
        <v/>
      </c>
      <c r="AB428" s="27" t="str">
        <f aca="false">IF($U428&lt;&gt;"",$U428,IF(OR($T428="",$M428&lt;&gt;"Active"),"",$T428+N($R428)))</f>
        <v/>
      </c>
      <c r="AC428" s="25" t="str">
        <f aca="false">IF(OR($T428="",$J428=""),"",$T428-$J428)</f>
        <v/>
      </c>
      <c r="AD428" s="25" t="str">
        <f aca="false">IF(AND($K428="Joined",$U428&lt;&gt;"",$J428&lt;&gt;""),$U428-$J428,"")</f>
        <v/>
      </c>
      <c r="AE428" s="25" t="str">
        <f aca="false">IF($K428="","",IF(OR($K428="Rejected",$K428="Withdrawn"),IFERROR(INDEX(Lists!$B$4:$B$14,MATCH($N428,Lists!$A$4:$A$14,0)),1),IFERROR(INDEX(Lists!$B$4:$B$14,MATCH($K428,Lists!$A$4:$A$14,0)),0)))</f>
        <v/>
      </c>
    </row>
    <row r="429" customFormat="false" ht="15" hidden="false" customHeight="false" outlineLevel="0" collapsed="false">
      <c r="A429" s="25" t="str">
        <f aca="false">IF($B429="","","C-"&amp;TEXT(ROW()-1,"0000"))</f>
        <v/>
      </c>
      <c r="B429" s="21"/>
      <c r="C429" s="21"/>
      <c r="D429" s="21"/>
      <c r="E429" s="21"/>
      <c r="F429" s="25" t="str">
        <f aca="false">IF($E429="","",IFERROR(INDEX(Requisitions!$B$2:$B$101,MATCH($E429,Requisitions!$A$2:$A$101,0)),"Unknown Req"))</f>
        <v/>
      </c>
      <c r="G429" s="25" t="str">
        <f aca="false">IF($E429="","",IFERROR(INDEX(Requisitions!$D$2:$D$101,MATCH($E429,Requisitions!$A$2:$A$101,0)),""))</f>
        <v/>
      </c>
      <c r="H429" s="21"/>
      <c r="I429" s="21"/>
      <c r="J429" s="22"/>
      <c r="K429" s="21"/>
      <c r="L429" s="22"/>
      <c r="M429" s="25" t="str">
        <f aca="false">IF($K429="","",IFERROR(INDEX(Lists!$D$4:$D$14,MATCH($K429,Lists!$A$4:$A$14,0)),"Check stage"))</f>
        <v/>
      </c>
      <c r="N429" s="21"/>
      <c r="O429" s="21"/>
      <c r="P429" s="26"/>
      <c r="Q429" s="26"/>
      <c r="R429" s="21"/>
      <c r="S429" s="21"/>
      <c r="T429" s="22"/>
      <c r="U429" s="22"/>
      <c r="V429" s="24" t="str">
        <f aca="false">IF(OR(N($P429)=0,$Q429=""),"",$Q429/$P429-1)</f>
        <v/>
      </c>
      <c r="W429" s="25" t="str">
        <f aca="true">IF($J429="","",IF($M429="Active",TODAY(),IF($U429&lt;&gt;"",$U429,IF($L429&lt;&gt;"",$L429,TODAY())))-$J429)</f>
        <v/>
      </c>
      <c r="X429" s="25" t="str">
        <f aca="true">IF(OR($L429="",$M429&lt;&gt;"Active"),"",TODAY()-$L429)</f>
        <v/>
      </c>
      <c r="Y429" s="25" t="str">
        <f aca="false">IF($M429&lt;&gt;"Active","",INDEX(Lists!$C$4:$C$14,MATCH($K429,Lists!$A$4:$A$14,0)))</f>
        <v/>
      </c>
      <c r="Z429" s="25" t="str">
        <f aca="false">IF($B429="","",IF($M429&lt;&gt;"Active","Closed",IF($X429="","",IF($X429&gt;$Y429,"BREACH","On Track"))))</f>
        <v/>
      </c>
      <c r="AA429" s="25" t="str">
        <f aca="false">IF($K429="","",IFERROR(INDEX(Lists!$E$4:$E$14,MATCH($K429,Lists!$A$4:$A$14,0)),""))</f>
        <v/>
      </c>
      <c r="AB429" s="27" t="str">
        <f aca="false">IF($U429&lt;&gt;"",$U429,IF(OR($T429="",$M429&lt;&gt;"Active"),"",$T429+N($R429)))</f>
        <v/>
      </c>
      <c r="AC429" s="25" t="str">
        <f aca="false">IF(OR($T429="",$J429=""),"",$T429-$J429)</f>
        <v/>
      </c>
      <c r="AD429" s="25" t="str">
        <f aca="false">IF(AND($K429="Joined",$U429&lt;&gt;"",$J429&lt;&gt;""),$U429-$J429,"")</f>
        <v/>
      </c>
      <c r="AE429" s="25" t="str">
        <f aca="false">IF($K429="","",IF(OR($K429="Rejected",$K429="Withdrawn"),IFERROR(INDEX(Lists!$B$4:$B$14,MATCH($N429,Lists!$A$4:$A$14,0)),1),IFERROR(INDEX(Lists!$B$4:$B$14,MATCH($K429,Lists!$A$4:$A$14,0)),0)))</f>
        <v/>
      </c>
    </row>
    <row r="430" customFormat="false" ht="15" hidden="false" customHeight="false" outlineLevel="0" collapsed="false">
      <c r="A430" s="25" t="str">
        <f aca="false">IF($B430="","","C-"&amp;TEXT(ROW()-1,"0000"))</f>
        <v/>
      </c>
      <c r="B430" s="21"/>
      <c r="C430" s="21"/>
      <c r="D430" s="21"/>
      <c r="E430" s="21"/>
      <c r="F430" s="25" t="str">
        <f aca="false">IF($E430="","",IFERROR(INDEX(Requisitions!$B$2:$B$101,MATCH($E430,Requisitions!$A$2:$A$101,0)),"Unknown Req"))</f>
        <v/>
      </c>
      <c r="G430" s="25" t="str">
        <f aca="false">IF($E430="","",IFERROR(INDEX(Requisitions!$D$2:$D$101,MATCH($E430,Requisitions!$A$2:$A$101,0)),""))</f>
        <v/>
      </c>
      <c r="H430" s="21"/>
      <c r="I430" s="21"/>
      <c r="J430" s="22"/>
      <c r="K430" s="21"/>
      <c r="L430" s="22"/>
      <c r="M430" s="25" t="str">
        <f aca="false">IF($K430="","",IFERROR(INDEX(Lists!$D$4:$D$14,MATCH($K430,Lists!$A$4:$A$14,0)),"Check stage"))</f>
        <v/>
      </c>
      <c r="N430" s="21"/>
      <c r="O430" s="21"/>
      <c r="P430" s="26"/>
      <c r="Q430" s="26"/>
      <c r="R430" s="21"/>
      <c r="S430" s="21"/>
      <c r="T430" s="22"/>
      <c r="U430" s="22"/>
      <c r="V430" s="24" t="str">
        <f aca="false">IF(OR(N($P430)=0,$Q430=""),"",$Q430/$P430-1)</f>
        <v/>
      </c>
      <c r="W430" s="25" t="str">
        <f aca="true">IF($J430="","",IF($M430="Active",TODAY(),IF($U430&lt;&gt;"",$U430,IF($L430&lt;&gt;"",$L430,TODAY())))-$J430)</f>
        <v/>
      </c>
      <c r="X430" s="25" t="str">
        <f aca="true">IF(OR($L430="",$M430&lt;&gt;"Active"),"",TODAY()-$L430)</f>
        <v/>
      </c>
      <c r="Y430" s="25" t="str">
        <f aca="false">IF($M430&lt;&gt;"Active","",INDEX(Lists!$C$4:$C$14,MATCH($K430,Lists!$A$4:$A$14,0)))</f>
        <v/>
      </c>
      <c r="Z430" s="25" t="str">
        <f aca="false">IF($B430="","",IF($M430&lt;&gt;"Active","Closed",IF($X430="","",IF($X430&gt;$Y430,"BREACH","On Track"))))</f>
        <v/>
      </c>
      <c r="AA430" s="25" t="str">
        <f aca="false">IF($K430="","",IFERROR(INDEX(Lists!$E$4:$E$14,MATCH($K430,Lists!$A$4:$A$14,0)),""))</f>
        <v/>
      </c>
      <c r="AB430" s="27" t="str">
        <f aca="false">IF($U430&lt;&gt;"",$U430,IF(OR($T430="",$M430&lt;&gt;"Active"),"",$T430+N($R430)))</f>
        <v/>
      </c>
      <c r="AC430" s="25" t="str">
        <f aca="false">IF(OR($T430="",$J430=""),"",$T430-$J430)</f>
        <v/>
      </c>
      <c r="AD430" s="25" t="str">
        <f aca="false">IF(AND($K430="Joined",$U430&lt;&gt;"",$J430&lt;&gt;""),$U430-$J430,"")</f>
        <v/>
      </c>
      <c r="AE430" s="25" t="str">
        <f aca="false">IF($K430="","",IF(OR($K430="Rejected",$K430="Withdrawn"),IFERROR(INDEX(Lists!$B$4:$B$14,MATCH($N430,Lists!$A$4:$A$14,0)),1),IFERROR(INDEX(Lists!$B$4:$B$14,MATCH($K430,Lists!$A$4:$A$14,0)),0)))</f>
        <v/>
      </c>
    </row>
    <row r="431" customFormat="false" ht="15" hidden="false" customHeight="false" outlineLevel="0" collapsed="false">
      <c r="A431" s="25" t="str">
        <f aca="false">IF($B431="","","C-"&amp;TEXT(ROW()-1,"0000"))</f>
        <v/>
      </c>
      <c r="B431" s="21"/>
      <c r="C431" s="21"/>
      <c r="D431" s="21"/>
      <c r="E431" s="21"/>
      <c r="F431" s="25" t="str">
        <f aca="false">IF($E431="","",IFERROR(INDEX(Requisitions!$B$2:$B$101,MATCH($E431,Requisitions!$A$2:$A$101,0)),"Unknown Req"))</f>
        <v/>
      </c>
      <c r="G431" s="25" t="str">
        <f aca="false">IF($E431="","",IFERROR(INDEX(Requisitions!$D$2:$D$101,MATCH($E431,Requisitions!$A$2:$A$101,0)),""))</f>
        <v/>
      </c>
      <c r="H431" s="21"/>
      <c r="I431" s="21"/>
      <c r="J431" s="22"/>
      <c r="K431" s="21"/>
      <c r="L431" s="22"/>
      <c r="M431" s="25" t="str">
        <f aca="false">IF($K431="","",IFERROR(INDEX(Lists!$D$4:$D$14,MATCH($K431,Lists!$A$4:$A$14,0)),"Check stage"))</f>
        <v/>
      </c>
      <c r="N431" s="21"/>
      <c r="O431" s="21"/>
      <c r="P431" s="26"/>
      <c r="Q431" s="26"/>
      <c r="R431" s="21"/>
      <c r="S431" s="21"/>
      <c r="T431" s="22"/>
      <c r="U431" s="22"/>
      <c r="V431" s="24" t="str">
        <f aca="false">IF(OR(N($P431)=0,$Q431=""),"",$Q431/$P431-1)</f>
        <v/>
      </c>
      <c r="W431" s="25" t="str">
        <f aca="true">IF($J431="","",IF($M431="Active",TODAY(),IF($U431&lt;&gt;"",$U431,IF($L431&lt;&gt;"",$L431,TODAY())))-$J431)</f>
        <v/>
      </c>
      <c r="X431" s="25" t="str">
        <f aca="true">IF(OR($L431="",$M431&lt;&gt;"Active"),"",TODAY()-$L431)</f>
        <v/>
      </c>
      <c r="Y431" s="25" t="str">
        <f aca="false">IF($M431&lt;&gt;"Active","",INDEX(Lists!$C$4:$C$14,MATCH($K431,Lists!$A$4:$A$14,0)))</f>
        <v/>
      </c>
      <c r="Z431" s="25" t="str">
        <f aca="false">IF($B431="","",IF($M431&lt;&gt;"Active","Closed",IF($X431="","",IF($X431&gt;$Y431,"BREACH","On Track"))))</f>
        <v/>
      </c>
      <c r="AA431" s="25" t="str">
        <f aca="false">IF($K431="","",IFERROR(INDEX(Lists!$E$4:$E$14,MATCH($K431,Lists!$A$4:$A$14,0)),""))</f>
        <v/>
      </c>
      <c r="AB431" s="27" t="str">
        <f aca="false">IF($U431&lt;&gt;"",$U431,IF(OR($T431="",$M431&lt;&gt;"Active"),"",$T431+N($R431)))</f>
        <v/>
      </c>
      <c r="AC431" s="25" t="str">
        <f aca="false">IF(OR($T431="",$J431=""),"",$T431-$J431)</f>
        <v/>
      </c>
      <c r="AD431" s="25" t="str">
        <f aca="false">IF(AND($K431="Joined",$U431&lt;&gt;"",$J431&lt;&gt;""),$U431-$J431,"")</f>
        <v/>
      </c>
      <c r="AE431" s="25" t="str">
        <f aca="false">IF($K431="","",IF(OR($K431="Rejected",$K431="Withdrawn"),IFERROR(INDEX(Lists!$B$4:$B$14,MATCH($N431,Lists!$A$4:$A$14,0)),1),IFERROR(INDEX(Lists!$B$4:$B$14,MATCH($K431,Lists!$A$4:$A$14,0)),0)))</f>
        <v/>
      </c>
    </row>
    <row r="432" customFormat="false" ht="15" hidden="false" customHeight="false" outlineLevel="0" collapsed="false">
      <c r="A432" s="25" t="str">
        <f aca="false">IF($B432="","","C-"&amp;TEXT(ROW()-1,"0000"))</f>
        <v/>
      </c>
      <c r="B432" s="21"/>
      <c r="C432" s="21"/>
      <c r="D432" s="21"/>
      <c r="E432" s="21"/>
      <c r="F432" s="25" t="str">
        <f aca="false">IF($E432="","",IFERROR(INDEX(Requisitions!$B$2:$B$101,MATCH($E432,Requisitions!$A$2:$A$101,0)),"Unknown Req"))</f>
        <v/>
      </c>
      <c r="G432" s="25" t="str">
        <f aca="false">IF($E432="","",IFERROR(INDEX(Requisitions!$D$2:$D$101,MATCH($E432,Requisitions!$A$2:$A$101,0)),""))</f>
        <v/>
      </c>
      <c r="H432" s="21"/>
      <c r="I432" s="21"/>
      <c r="J432" s="22"/>
      <c r="K432" s="21"/>
      <c r="L432" s="22"/>
      <c r="M432" s="25" t="str">
        <f aca="false">IF($K432="","",IFERROR(INDEX(Lists!$D$4:$D$14,MATCH($K432,Lists!$A$4:$A$14,0)),"Check stage"))</f>
        <v/>
      </c>
      <c r="N432" s="21"/>
      <c r="O432" s="21"/>
      <c r="P432" s="26"/>
      <c r="Q432" s="26"/>
      <c r="R432" s="21"/>
      <c r="S432" s="21"/>
      <c r="T432" s="22"/>
      <c r="U432" s="22"/>
      <c r="V432" s="24" t="str">
        <f aca="false">IF(OR(N($P432)=0,$Q432=""),"",$Q432/$P432-1)</f>
        <v/>
      </c>
      <c r="W432" s="25" t="str">
        <f aca="true">IF($J432="","",IF($M432="Active",TODAY(),IF($U432&lt;&gt;"",$U432,IF($L432&lt;&gt;"",$L432,TODAY())))-$J432)</f>
        <v/>
      </c>
      <c r="X432" s="25" t="str">
        <f aca="true">IF(OR($L432="",$M432&lt;&gt;"Active"),"",TODAY()-$L432)</f>
        <v/>
      </c>
      <c r="Y432" s="25" t="str">
        <f aca="false">IF($M432&lt;&gt;"Active","",INDEX(Lists!$C$4:$C$14,MATCH($K432,Lists!$A$4:$A$14,0)))</f>
        <v/>
      </c>
      <c r="Z432" s="25" t="str">
        <f aca="false">IF($B432="","",IF($M432&lt;&gt;"Active","Closed",IF($X432="","",IF($X432&gt;$Y432,"BREACH","On Track"))))</f>
        <v/>
      </c>
      <c r="AA432" s="25" t="str">
        <f aca="false">IF($K432="","",IFERROR(INDEX(Lists!$E$4:$E$14,MATCH($K432,Lists!$A$4:$A$14,0)),""))</f>
        <v/>
      </c>
      <c r="AB432" s="27" t="str">
        <f aca="false">IF($U432&lt;&gt;"",$U432,IF(OR($T432="",$M432&lt;&gt;"Active"),"",$T432+N($R432)))</f>
        <v/>
      </c>
      <c r="AC432" s="25" t="str">
        <f aca="false">IF(OR($T432="",$J432=""),"",$T432-$J432)</f>
        <v/>
      </c>
      <c r="AD432" s="25" t="str">
        <f aca="false">IF(AND($K432="Joined",$U432&lt;&gt;"",$J432&lt;&gt;""),$U432-$J432,"")</f>
        <v/>
      </c>
      <c r="AE432" s="25" t="str">
        <f aca="false">IF($K432="","",IF(OR($K432="Rejected",$K432="Withdrawn"),IFERROR(INDEX(Lists!$B$4:$B$14,MATCH($N432,Lists!$A$4:$A$14,0)),1),IFERROR(INDEX(Lists!$B$4:$B$14,MATCH($K432,Lists!$A$4:$A$14,0)),0)))</f>
        <v/>
      </c>
    </row>
    <row r="433" customFormat="false" ht="15" hidden="false" customHeight="false" outlineLevel="0" collapsed="false">
      <c r="A433" s="25" t="str">
        <f aca="false">IF($B433="","","C-"&amp;TEXT(ROW()-1,"0000"))</f>
        <v/>
      </c>
      <c r="B433" s="21"/>
      <c r="C433" s="21"/>
      <c r="D433" s="21"/>
      <c r="E433" s="21"/>
      <c r="F433" s="25" t="str">
        <f aca="false">IF($E433="","",IFERROR(INDEX(Requisitions!$B$2:$B$101,MATCH($E433,Requisitions!$A$2:$A$101,0)),"Unknown Req"))</f>
        <v/>
      </c>
      <c r="G433" s="25" t="str">
        <f aca="false">IF($E433="","",IFERROR(INDEX(Requisitions!$D$2:$D$101,MATCH($E433,Requisitions!$A$2:$A$101,0)),""))</f>
        <v/>
      </c>
      <c r="H433" s="21"/>
      <c r="I433" s="21"/>
      <c r="J433" s="22"/>
      <c r="K433" s="21"/>
      <c r="L433" s="22"/>
      <c r="M433" s="25" t="str">
        <f aca="false">IF($K433="","",IFERROR(INDEX(Lists!$D$4:$D$14,MATCH($K433,Lists!$A$4:$A$14,0)),"Check stage"))</f>
        <v/>
      </c>
      <c r="N433" s="21"/>
      <c r="O433" s="21"/>
      <c r="P433" s="26"/>
      <c r="Q433" s="26"/>
      <c r="R433" s="21"/>
      <c r="S433" s="21"/>
      <c r="T433" s="22"/>
      <c r="U433" s="22"/>
      <c r="V433" s="24" t="str">
        <f aca="false">IF(OR(N($P433)=0,$Q433=""),"",$Q433/$P433-1)</f>
        <v/>
      </c>
      <c r="W433" s="25" t="str">
        <f aca="true">IF($J433="","",IF($M433="Active",TODAY(),IF($U433&lt;&gt;"",$U433,IF($L433&lt;&gt;"",$L433,TODAY())))-$J433)</f>
        <v/>
      </c>
      <c r="X433" s="25" t="str">
        <f aca="true">IF(OR($L433="",$M433&lt;&gt;"Active"),"",TODAY()-$L433)</f>
        <v/>
      </c>
      <c r="Y433" s="25" t="str">
        <f aca="false">IF($M433&lt;&gt;"Active","",INDEX(Lists!$C$4:$C$14,MATCH($K433,Lists!$A$4:$A$14,0)))</f>
        <v/>
      </c>
      <c r="Z433" s="25" t="str">
        <f aca="false">IF($B433="","",IF($M433&lt;&gt;"Active","Closed",IF($X433="","",IF($X433&gt;$Y433,"BREACH","On Track"))))</f>
        <v/>
      </c>
      <c r="AA433" s="25" t="str">
        <f aca="false">IF($K433="","",IFERROR(INDEX(Lists!$E$4:$E$14,MATCH($K433,Lists!$A$4:$A$14,0)),""))</f>
        <v/>
      </c>
      <c r="AB433" s="27" t="str">
        <f aca="false">IF($U433&lt;&gt;"",$U433,IF(OR($T433="",$M433&lt;&gt;"Active"),"",$T433+N($R433)))</f>
        <v/>
      </c>
      <c r="AC433" s="25" t="str">
        <f aca="false">IF(OR($T433="",$J433=""),"",$T433-$J433)</f>
        <v/>
      </c>
      <c r="AD433" s="25" t="str">
        <f aca="false">IF(AND($K433="Joined",$U433&lt;&gt;"",$J433&lt;&gt;""),$U433-$J433,"")</f>
        <v/>
      </c>
      <c r="AE433" s="25" t="str">
        <f aca="false">IF($K433="","",IF(OR($K433="Rejected",$K433="Withdrawn"),IFERROR(INDEX(Lists!$B$4:$B$14,MATCH($N433,Lists!$A$4:$A$14,0)),1),IFERROR(INDEX(Lists!$B$4:$B$14,MATCH($K433,Lists!$A$4:$A$14,0)),0)))</f>
        <v/>
      </c>
    </row>
    <row r="434" customFormat="false" ht="15" hidden="false" customHeight="false" outlineLevel="0" collapsed="false">
      <c r="A434" s="25" t="str">
        <f aca="false">IF($B434="","","C-"&amp;TEXT(ROW()-1,"0000"))</f>
        <v/>
      </c>
      <c r="B434" s="21"/>
      <c r="C434" s="21"/>
      <c r="D434" s="21"/>
      <c r="E434" s="21"/>
      <c r="F434" s="25" t="str">
        <f aca="false">IF($E434="","",IFERROR(INDEX(Requisitions!$B$2:$B$101,MATCH($E434,Requisitions!$A$2:$A$101,0)),"Unknown Req"))</f>
        <v/>
      </c>
      <c r="G434" s="25" t="str">
        <f aca="false">IF($E434="","",IFERROR(INDEX(Requisitions!$D$2:$D$101,MATCH($E434,Requisitions!$A$2:$A$101,0)),""))</f>
        <v/>
      </c>
      <c r="H434" s="21"/>
      <c r="I434" s="21"/>
      <c r="J434" s="22"/>
      <c r="K434" s="21"/>
      <c r="L434" s="22"/>
      <c r="M434" s="25" t="str">
        <f aca="false">IF($K434="","",IFERROR(INDEX(Lists!$D$4:$D$14,MATCH($K434,Lists!$A$4:$A$14,0)),"Check stage"))</f>
        <v/>
      </c>
      <c r="N434" s="21"/>
      <c r="O434" s="21"/>
      <c r="P434" s="26"/>
      <c r="Q434" s="26"/>
      <c r="R434" s="21"/>
      <c r="S434" s="21"/>
      <c r="T434" s="22"/>
      <c r="U434" s="22"/>
      <c r="V434" s="24" t="str">
        <f aca="false">IF(OR(N($P434)=0,$Q434=""),"",$Q434/$P434-1)</f>
        <v/>
      </c>
      <c r="W434" s="25" t="str">
        <f aca="true">IF($J434="","",IF($M434="Active",TODAY(),IF($U434&lt;&gt;"",$U434,IF($L434&lt;&gt;"",$L434,TODAY())))-$J434)</f>
        <v/>
      </c>
      <c r="X434" s="25" t="str">
        <f aca="true">IF(OR($L434="",$M434&lt;&gt;"Active"),"",TODAY()-$L434)</f>
        <v/>
      </c>
      <c r="Y434" s="25" t="str">
        <f aca="false">IF($M434&lt;&gt;"Active","",INDEX(Lists!$C$4:$C$14,MATCH($K434,Lists!$A$4:$A$14,0)))</f>
        <v/>
      </c>
      <c r="Z434" s="25" t="str">
        <f aca="false">IF($B434="","",IF($M434&lt;&gt;"Active","Closed",IF($X434="","",IF($X434&gt;$Y434,"BREACH","On Track"))))</f>
        <v/>
      </c>
      <c r="AA434" s="25" t="str">
        <f aca="false">IF($K434="","",IFERROR(INDEX(Lists!$E$4:$E$14,MATCH($K434,Lists!$A$4:$A$14,0)),""))</f>
        <v/>
      </c>
      <c r="AB434" s="27" t="str">
        <f aca="false">IF($U434&lt;&gt;"",$U434,IF(OR($T434="",$M434&lt;&gt;"Active"),"",$T434+N($R434)))</f>
        <v/>
      </c>
      <c r="AC434" s="25" t="str">
        <f aca="false">IF(OR($T434="",$J434=""),"",$T434-$J434)</f>
        <v/>
      </c>
      <c r="AD434" s="25" t="str">
        <f aca="false">IF(AND($K434="Joined",$U434&lt;&gt;"",$J434&lt;&gt;""),$U434-$J434,"")</f>
        <v/>
      </c>
      <c r="AE434" s="25" t="str">
        <f aca="false">IF($K434="","",IF(OR($K434="Rejected",$K434="Withdrawn"),IFERROR(INDEX(Lists!$B$4:$B$14,MATCH($N434,Lists!$A$4:$A$14,0)),1),IFERROR(INDEX(Lists!$B$4:$B$14,MATCH($K434,Lists!$A$4:$A$14,0)),0)))</f>
        <v/>
      </c>
    </row>
    <row r="435" customFormat="false" ht="15" hidden="false" customHeight="false" outlineLevel="0" collapsed="false">
      <c r="A435" s="25" t="str">
        <f aca="false">IF($B435="","","C-"&amp;TEXT(ROW()-1,"0000"))</f>
        <v/>
      </c>
      <c r="B435" s="21"/>
      <c r="C435" s="21"/>
      <c r="D435" s="21"/>
      <c r="E435" s="21"/>
      <c r="F435" s="25" t="str">
        <f aca="false">IF($E435="","",IFERROR(INDEX(Requisitions!$B$2:$B$101,MATCH($E435,Requisitions!$A$2:$A$101,0)),"Unknown Req"))</f>
        <v/>
      </c>
      <c r="G435" s="25" t="str">
        <f aca="false">IF($E435="","",IFERROR(INDEX(Requisitions!$D$2:$D$101,MATCH($E435,Requisitions!$A$2:$A$101,0)),""))</f>
        <v/>
      </c>
      <c r="H435" s="21"/>
      <c r="I435" s="21"/>
      <c r="J435" s="22"/>
      <c r="K435" s="21"/>
      <c r="L435" s="22"/>
      <c r="M435" s="25" t="str">
        <f aca="false">IF($K435="","",IFERROR(INDEX(Lists!$D$4:$D$14,MATCH($K435,Lists!$A$4:$A$14,0)),"Check stage"))</f>
        <v/>
      </c>
      <c r="N435" s="21"/>
      <c r="O435" s="21"/>
      <c r="P435" s="26"/>
      <c r="Q435" s="26"/>
      <c r="R435" s="21"/>
      <c r="S435" s="21"/>
      <c r="T435" s="22"/>
      <c r="U435" s="22"/>
      <c r="V435" s="24" t="str">
        <f aca="false">IF(OR(N($P435)=0,$Q435=""),"",$Q435/$P435-1)</f>
        <v/>
      </c>
      <c r="W435" s="25" t="str">
        <f aca="true">IF($J435="","",IF($M435="Active",TODAY(),IF($U435&lt;&gt;"",$U435,IF($L435&lt;&gt;"",$L435,TODAY())))-$J435)</f>
        <v/>
      </c>
      <c r="X435" s="25" t="str">
        <f aca="true">IF(OR($L435="",$M435&lt;&gt;"Active"),"",TODAY()-$L435)</f>
        <v/>
      </c>
      <c r="Y435" s="25" t="str">
        <f aca="false">IF($M435&lt;&gt;"Active","",INDEX(Lists!$C$4:$C$14,MATCH($K435,Lists!$A$4:$A$14,0)))</f>
        <v/>
      </c>
      <c r="Z435" s="25" t="str">
        <f aca="false">IF($B435="","",IF($M435&lt;&gt;"Active","Closed",IF($X435="","",IF($X435&gt;$Y435,"BREACH","On Track"))))</f>
        <v/>
      </c>
      <c r="AA435" s="25" t="str">
        <f aca="false">IF($K435="","",IFERROR(INDEX(Lists!$E$4:$E$14,MATCH($K435,Lists!$A$4:$A$14,0)),""))</f>
        <v/>
      </c>
      <c r="AB435" s="27" t="str">
        <f aca="false">IF($U435&lt;&gt;"",$U435,IF(OR($T435="",$M435&lt;&gt;"Active"),"",$T435+N($R435)))</f>
        <v/>
      </c>
      <c r="AC435" s="25" t="str">
        <f aca="false">IF(OR($T435="",$J435=""),"",$T435-$J435)</f>
        <v/>
      </c>
      <c r="AD435" s="25" t="str">
        <f aca="false">IF(AND($K435="Joined",$U435&lt;&gt;"",$J435&lt;&gt;""),$U435-$J435,"")</f>
        <v/>
      </c>
      <c r="AE435" s="25" t="str">
        <f aca="false">IF($K435="","",IF(OR($K435="Rejected",$K435="Withdrawn"),IFERROR(INDEX(Lists!$B$4:$B$14,MATCH($N435,Lists!$A$4:$A$14,0)),1),IFERROR(INDEX(Lists!$B$4:$B$14,MATCH($K435,Lists!$A$4:$A$14,0)),0)))</f>
        <v/>
      </c>
    </row>
    <row r="436" customFormat="false" ht="15" hidden="false" customHeight="false" outlineLevel="0" collapsed="false">
      <c r="A436" s="25" t="str">
        <f aca="false">IF($B436="","","C-"&amp;TEXT(ROW()-1,"0000"))</f>
        <v/>
      </c>
      <c r="B436" s="21"/>
      <c r="C436" s="21"/>
      <c r="D436" s="21"/>
      <c r="E436" s="21"/>
      <c r="F436" s="25" t="str">
        <f aca="false">IF($E436="","",IFERROR(INDEX(Requisitions!$B$2:$B$101,MATCH($E436,Requisitions!$A$2:$A$101,0)),"Unknown Req"))</f>
        <v/>
      </c>
      <c r="G436" s="25" t="str">
        <f aca="false">IF($E436="","",IFERROR(INDEX(Requisitions!$D$2:$D$101,MATCH($E436,Requisitions!$A$2:$A$101,0)),""))</f>
        <v/>
      </c>
      <c r="H436" s="21"/>
      <c r="I436" s="21"/>
      <c r="J436" s="22"/>
      <c r="K436" s="21"/>
      <c r="L436" s="22"/>
      <c r="M436" s="25" t="str">
        <f aca="false">IF($K436="","",IFERROR(INDEX(Lists!$D$4:$D$14,MATCH($K436,Lists!$A$4:$A$14,0)),"Check stage"))</f>
        <v/>
      </c>
      <c r="N436" s="21"/>
      <c r="O436" s="21"/>
      <c r="P436" s="26"/>
      <c r="Q436" s="26"/>
      <c r="R436" s="21"/>
      <c r="S436" s="21"/>
      <c r="T436" s="22"/>
      <c r="U436" s="22"/>
      <c r="V436" s="24" t="str">
        <f aca="false">IF(OR(N($P436)=0,$Q436=""),"",$Q436/$P436-1)</f>
        <v/>
      </c>
      <c r="W436" s="25" t="str">
        <f aca="true">IF($J436="","",IF($M436="Active",TODAY(),IF($U436&lt;&gt;"",$U436,IF($L436&lt;&gt;"",$L436,TODAY())))-$J436)</f>
        <v/>
      </c>
      <c r="X436" s="25" t="str">
        <f aca="true">IF(OR($L436="",$M436&lt;&gt;"Active"),"",TODAY()-$L436)</f>
        <v/>
      </c>
      <c r="Y436" s="25" t="str">
        <f aca="false">IF($M436&lt;&gt;"Active","",INDEX(Lists!$C$4:$C$14,MATCH($K436,Lists!$A$4:$A$14,0)))</f>
        <v/>
      </c>
      <c r="Z436" s="25" t="str">
        <f aca="false">IF($B436="","",IF($M436&lt;&gt;"Active","Closed",IF($X436="","",IF($X436&gt;$Y436,"BREACH","On Track"))))</f>
        <v/>
      </c>
      <c r="AA436" s="25" t="str">
        <f aca="false">IF($K436="","",IFERROR(INDEX(Lists!$E$4:$E$14,MATCH($K436,Lists!$A$4:$A$14,0)),""))</f>
        <v/>
      </c>
      <c r="AB436" s="27" t="str">
        <f aca="false">IF($U436&lt;&gt;"",$U436,IF(OR($T436="",$M436&lt;&gt;"Active"),"",$T436+N($R436)))</f>
        <v/>
      </c>
      <c r="AC436" s="25" t="str">
        <f aca="false">IF(OR($T436="",$J436=""),"",$T436-$J436)</f>
        <v/>
      </c>
      <c r="AD436" s="25" t="str">
        <f aca="false">IF(AND($K436="Joined",$U436&lt;&gt;"",$J436&lt;&gt;""),$U436-$J436,"")</f>
        <v/>
      </c>
      <c r="AE436" s="25" t="str">
        <f aca="false">IF($K436="","",IF(OR($K436="Rejected",$K436="Withdrawn"),IFERROR(INDEX(Lists!$B$4:$B$14,MATCH($N436,Lists!$A$4:$A$14,0)),1),IFERROR(INDEX(Lists!$B$4:$B$14,MATCH($K436,Lists!$A$4:$A$14,0)),0)))</f>
        <v/>
      </c>
    </row>
    <row r="437" customFormat="false" ht="15" hidden="false" customHeight="false" outlineLevel="0" collapsed="false">
      <c r="A437" s="25" t="str">
        <f aca="false">IF($B437="","","C-"&amp;TEXT(ROW()-1,"0000"))</f>
        <v/>
      </c>
      <c r="B437" s="21"/>
      <c r="C437" s="21"/>
      <c r="D437" s="21"/>
      <c r="E437" s="21"/>
      <c r="F437" s="25" t="str">
        <f aca="false">IF($E437="","",IFERROR(INDEX(Requisitions!$B$2:$B$101,MATCH($E437,Requisitions!$A$2:$A$101,0)),"Unknown Req"))</f>
        <v/>
      </c>
      <c r="G437" s="25" t="str">
        <f aca="false">IF($E437="","",IFERROR(INDEX(Requisitions!$D$2:$D$101,MATCH($E437,Requisitions!$A$2:$A$101,0)),""))</f>
        <v/>
      </c>
      <c r="H437" s="21"/>
      <c r="I437" s="21"/>
      <c r="J437" s="22"/>
      <c r="K437" s="21"/>
      <c r="L437" s="22"/>
      <c r="M437" s="25" t="str">
        <f aca="false">IF($K437="","",IFERROR(INDEX(Lists!$D$4:$D$14,MATCH($K437,Lists!$A$4:$A$14,0)),"Check stage"))</f>
        <v/>
      </c>
      <c r="N437" s="21"/>
      <c r="O437" s="21"/>
      <c r="P437" s="26"/>
      <c r="Q437" s="26"/>
      <c r="R437" s="21"/>
      <c r="S437" s="21"/>
      <c r="T437" s="22"/>
      <c r="U437" s="22"/>
      <c r="V437" s="24" t="str">
        <f aca="false">IF(OR(N($P437)=0,$Q437=""),"",$Q437/$P437-1)</f>
        <v/>
      </c>
      <c r="W437" s="25" t="str">
        <f aca="true">IF($J437="","",IF($M437="Active",TODAY(),IF($U437&lt;&gt;"",$U437,IF($L437&lt;&gt;"",$L437,TODAY())))-$J437)</f>
        <v/>
      </c>
      <c r="X437" s="25" t="str">
        <f aca="true">IF(OR($L437="",$M437&lt;&gt;"Active"),"",TODAY()-$L437)</f>
        <v/>
      </c>
      <c r="Y437" s="25" t="str">
        <f aca="false">IF($M437&lt;&gt;"Active","",INDEX(Lists!$C$4:$C$14,MATCH($K437,Lists!$A$4:$A$14,0)))</f>
        <v/>
      </c>
      <c r="Z437" s="25" t="str">
        <f aca="false">IF($B437="","",IF($M437&lt;&gt;"Active","Closed",IF($X437="","",IF($X437&gt;$Y437,"BREACH","On Track"))))</f>
        <v/>
      </c>
      <c r="AA437" s="25" t="str">
        <f aca="false">IF($K437="","",IFERROR(INDEX(Lists!$E$4:$E$14,MATCH($K437,Lists!$A$4:$A$14,0)),""))</f>
        <v/>
      </c>
      <c r="AB437" s="27" t="str">
        <f aca="false">IF($U437&lt;&gt;"",$U437,IF(OR($T437="",$M437&lt;&gt;"Active"),"",$T437+N($R437)))</f>
        <v/>
      </c>
      <c r="AC437" s="25" t="str">
        <f aca="false">IF(OR($T437="",$J437=""),"",$T437-$J437)</f>
        <v/>
      </c>
      <c r="AD437" s="25" t="str">
        <f aca="false">IF(AND($K437="Joined",$U437&lt;&gt;"",$J437&lt;&gt;""),$U437-$J437,"")</f>
        <v/>
      </c>
      <c r="AE437" s="25" t="str">
        <f aca="false">IF($K437="","",IF(OR($K437="Rejected",$K437="Withdrawn"),IFERROR(INDEX(Lists!$B$4:$B$14,MATCH($N437,Lists!$A$4:$A$14,0)),1),IFERROR(INDEX(Lists!$B$4:$B$14,MATCH($K437,Lists!$A$4:$A$14,0)),0)))</f>
        <v/>
      </c>
    </row>
    <row r="438" customFormat="false" ht="15" hidden="false" customHeight="false" outlineLevel="0" collapsed="false">
      <c r="A438" s="25" t="str">
        <f aca="false">IF($B438="","","C-"&amp;TEXT(ROW()-1,"0000"))</f>
        <v/>
      </c>
      <c r="B438" s="21"/>
      <c r="C438" s="21"/>
      <c r="D438" s="21"/>
      <c r="E438" s="21"/>
      <c r="F438" s="25" t="str">
        <f aca="false">IF($E438="","",IFERROR(INDEX(Requisitions!$B$2:$B$101,MATCH($E438,Requisitions!$A$2:$A$101,0)),"Unknown Req"))</f>
        <v/>
      </c>
      <c r="G438" s="25" t="str">
        <f aca="false">IF($E438="","",IFERROR(INDEX(Requisitions!$D$2:$D$101,MATCH($E438,Requisitions!$A$2:$A$101,0)),""))</f>
        <v/>
      </c>
      <c r="H438" s="21"/>
      <c r="I438" s="21"/>
      <c r="J438" s="22"/>
      <c r="K438" s="21"/>
      <c r="L438" s="22"/>
      <c r="M438" s="25" t="str">
        <f aca="false">IF($K438="","",IFERROR(INDEX(Lists!$D$4:$D$14,MATCH($K438,Lists!$A$4:$A$14,0)),"Check stage"))</f>
        <v/>
      </c>
      <c r="N438" s="21"/>
      <c r="O438" s="21"/>
      <c r="P438" s="26"/>
      <c r="Q438" s="26"/>
      <c r="R438" s="21"/>
      <c r="S438" s="21"/>
      <c r="T438" s="22"/>
      <c r="U438" s="22"/>
      <c r="V438" s="24" t="str">
        <f aca="false">IF(OR(N($P438)=0,$Q438=""),"",$Q438/$P438-1)</f>
        <v/>
      </c>
      <c r="W438" s="25" t="str">
        <f aca="true">IF($J438="","",IF($M438="Active",TODAY(),IF($U438&lt;&gt;"",$U438,IF($L438&lt;&gt;"",$L438,TODAY())))-$J438)</f>
        <v/>
      </c>
      <c r="X438" s="25" t="str">
        <f aca="true">IF(OR($L438="",$M438&lt;&gt;"Active"),"",TODAY()-$L438)</f>
        <v/>
      </c>
      <c r="Y438" s="25" t="str">
        <f aca="false">IF($M438&lt;&gt;"Active","",INDEX(Lists!$C$4:$C$14,MATCH($K438,Lists!$A$4:$A$14,0)))</f>
        <v/>
      </c>
      <c r="Z438" s="25" t="str">
        <f aca="false">IF($B438="","",IF($M438&lt;&gt;"Active","Closed",IF($X438="","",IF($X438&gt;$Y438,"BREACH","On Track"))))</f>
        <v/>
      </c>
      <c r="AA438" s="25" t="str">
        <f aca="false">IF($K438="","",IFERROR(INDEX(Lists!$E$4:$E$14,MATCH($K438,Lists!$A$4:$A$14,0)),""))</f>
        <v/>
      </c>
      <c r="AB438" s="27" t="str">
        <f aca="false">IF($U438&lt;&gt;"",$U438,IF(OR($T438="",$M438&lt;&gt;"Active"),"",$T438+N($R438)))</f>
        <v/>
      </c>
      <c r="AC438" s="25" t="str">
        <f aca="false">IF(OR($T438="",$J438=""),"",$T438-$J438)</f>
        <v/>
      </c>
      <c r="AD438" s="25" t="str">
        <f aca="false">IF(AND($K438="Joined",$U438&lt;&gt;"",$J438&lt;&gt;""),$U438-$J438,"")</f>
        <v/>
      </c>
      <c r="AE438" s="25" t="str">
        <f aca="false">IF($K438="","",IF(OR($K438="Rejected",$K438="Withdrawn"),IFERROR(INDEX(Lists!$B$4:$B$14,MATCH($N438,Lists!$A$4:$A$14,0)),1),IFERROR(INDEX(Lists!$B$4:$B$14,MATCH($K438,Lists!$A$4:$A$14,0)),0)))</f>
        <v/>
      </c>
    </row>
    <row r="439" customFormat="false" ht="15" hidden="false" customHeight="false" outlineLevel="0" collapsed="false">
      <c r="A439" s="25" t="str">
        <f aca="false">IF($B439="","","C-"&amp;TEXT(ROW()-1,"0000"))</f>
        <v/>
      </c>
      <c r="B439" s="21"/>
      <c r="C439" s="21"/>
      <c r="D439" s="21"/>
      <c r="E439" s="21"/>
      <c r="F439" s="25" t="str">
        <f aca="false">IF($E439="","",IFERROR(INDEX(Requisitions!$B$2:$B$101,MATCH($E439,Requisitions!$A$2:$A$101,0)),"Unknown Req"))</f>
        <v/>
      </c>
      <c r="G439" s="25" t="str">
        <f aca="false">IF($E439="","",IFERROR(INDEX(Requisitions!$D$2:$D$101,MATCH($E439,Requisitions!$A$2:$A$101,0)),""))</f>
        <v/>
      </c>
      <c r="H439" s="21"/>
      <c r="I439" s="21"/>
      <c r="J439" s="22"/>
      <c r="K439" s="21"/>
      <c r="L439" s="22"/>
      <c r="M439" s="25" t="str">
        <f aca="false">IF($K439="","",IFERROR(INDEX(Lists!$D$4:$D$14,MATCH($K439,Lists!$A$4:$A$14,0)),"Check stage"))</f>
        <v/>
      </c>
      <c r="N439" s="21"/>
      <c r="O439" s="21"/>
      <c r="P439" s="26"/>
      <c r="Q439" s="26"/>
      <c r="R439" s="21"/>
      <c r="S439" s="21"/>
      <c r="T439" s="22"/>
      <c r="U439" s="22"/>
      <c r="V439" s="24" t="str">
        <f aca="false">IF(OR(N($P439)=0,$Q439=""),"",$Q439/$P439-1)</f>
        <v/>
      </c>
      <c r="W439" s="25" t="str">
        <f aca="true">IF($J439="","",IF($M439="Active",TODAY(),IF($U439&lt;&gt;"",$U439,IF($L439&lt;&gt;"",$L439,TODAY())))-$J439)</f>
        <v/>
      </c>
      <c r="X439" s="25" t="str">
        <f aca="true">IF(OR($L439="",$M439&lt;&gt;"Active"),"",TODAY()-$L439)</f>
        <v/>
      </c>
      <c r="Y439" s="25" t="str">
        <f aca="false">IF($M439&lt;&gt;"Active","",INDEX(Lists!$C$4:$C$14,MATCH($K439,Lists!$A$4:$A$14,0)))</f>
        <v/>
      </c>
      <c r="Z439" s="25" t="str">
        <f aca="false">IF($B439="","",IF($M439&lt;&gt;"Active","Closed",IF($X439="","",IF($X439&gt;$Y439,"BREACH","On Track"))))</f>
        <v/>
      </c>
      <c r="AA439" s="25" t="str">
        <f aca="false">IF($K439="","",IFERROR(INDEX(Lists!$E$4:$E$14,MATCH($K439,Lists!$A$4:$A$14,0)),""))</f>
        <v/>
      </c>
      <c r="AB439" s="27" t="str">
        <f aca="false">IF($U439&lt;&gt;"",$U439,IF(OR($T439="",$M439&lt;&gt;"Active"),"",$T439+N($R439)))</f>
        <v/>
      </c>
      <c r="AC439" s="25" t="str">
        <f aca="false">IF(OR($T439="",$J439=""),"",$T439-$J439)</f>
        <v/>
      </c>
      <c r="AD439" s="25" t="str">
        <f aca="false">IF(AND($K439="Joined",$U439&lt;&gt;"",$J439&lt;&gt;""),$U439-$J439,"")</f>
        <v/>
      </c>
      <c r="AE439" s="25" t="str">
        <f aca="false">IF($K439="","",IF(OR($K439="Rejected",$K439="Withdrawn"),IFERROR(INDEX(Lists!$B$4:$B$14,MATCH($N439,Lists!$A$4:$A$14,0)),1),IFERROR(INDEX(Lists!$B$4:$B$14,MATCH($K439,Lists!$A$4:$A$14,0)),0)))</f>
        <v/>
      </c>
    </row>
    <row r="440" customFormat="false" ht="15" hidden="false" customHeight="false" outlineLevel="0" collapsed="false">
      <c r="A440" s="25" t="str">
        <f aca="false">IF($B440="","","C-"&amp;TEXT(ROW()-1,"0000"))</f>
        <v/>
      </c>
      <c r="B440" s="21"/>
      <c r="C440" s="21"/>
      <c r="D440" s="21"/>
      <c r="E440" s="21"/>
      <c r="F440" s="25" t="str">
        <f aca="false">IF($E440="","",IFERROR(INDEX(Requisitions!$B$2:$B$101,MATCH($E440,Requisitions!$A$2:$A$101,0)),"Unknown Req"))</f>
        <v/>
      </c>
      <c r="G440" s="25" t="str">
        <f aca="false">IF($E440="","",IFERROR(INDEX(Requisitions!$D$2:$D$101,MATCH($E440,Requisitions!$A$2:$A$101,0)),""))</f>
        <v/>
      </c>
      <c r="H440" s="21"/>
      <c r="I440" s="21"/>
      <c r="J440" s="22"/>
      <c r="K440" s="21"/>
      <c r="L440" s="22"/>
      <c r="M440" s="25" t="str">
        <f aca="false">IF($K440="","",IFERROR(INDEX(Lists!$D$4:$D$14,MATCH($K440,Lists!$A$4:$A$14,0)),"Check stage"))</f>
        <v/>
      </c>
      <c r="N440" s="21"/>
      <c r="O440" s="21"/>
      <c r="P440" s="26"/>
      <c r="Q440" s="26"/>
      <c r="R440" s="21"/>
      <c r="S440" s="21"/>
      <c r="T440" s="22"/>
      <c r="U440" s="22"/>
      <c r="V440" s="24" t="str">
        <f aca="false">IF(OR(N($P440)=0,$Q440=""),"",$Q440/$P440-1)</f>
        <v/>
      </c>
      <c r="W440" s="25" t="str">
        <f aca="true">IF($J440="","",IF($M440="Active",TODAY(),IF($U440&lt;&gt;"",$U440,IF($L440&lt;&gt;"",$L440,TODAY())))-$J440)</f>
        <v/>
      </c>
      <c r="X440" s="25" t="str">
        <f aca="true">IF(OR($L440="",$M440&lt;&gt;"Active"),"",TODAY()-$L440)</f>
        <v/>
      </c>
      <c r="Y440" s="25" t="str">
        <f aca="false">IF($M440&lt;&gt;"Active","",INDEX(Lists!$C$4:$C$14,MATCH($K440,Lists!$A$4:$A$14,0)))</f>
        <v/>
      </c>
      <c r="Z440" s="25" t="str">
        <f aca="false">IF($B440="","",IF($M440&lt;&gt;"Active","Closed",IF($X440="","",IF($X440&gt;$Y440,"BREACH","On Track"))))</f>
        <v/>
      </c>
      <c r="AA440" s="25" t="str">
        <f aca="false">IF($K440="","",IFERROR(INDEX(Lists!$E$4:$E$14,MATCH($K440,Lists!$A$4:$A$14,0)),""))</f>
        <v/>
      </c>
      <c r="AB440" s="27" t="str">
        <f aca="false">IF($U440&lt;&gt;"",$U440,IF(OR($T440="",$M440&lt;&gt;"Active"),"",$T440+N($R440)))</f>
        <v/>
      </c>
      <c r="AC440" s="25" t="str">
        <f aca="false">IF(OR($T440="",$J440=""),"",$T440-$J440)</f>
        <v/>
      </c>
      <c r="AD440" s="25" t="str">
        <f aca="false">IF(AND($K440="Joined",$U440&lt;&gt;"",$J440&lt;&gt;""),$U440-$J440,"")</f>
        <v/>
      </c>
      <c r="AE440" s="25" t="str">
        <f aca="false">IF($K440="","",IF(OR($K440="Rejected",$K440="Withdrawn"),IFERROR(INDEX(Lists!$B$4:$B$14,MATCH($N440,Lists!$A$4:$A$14,0)),1),IFERROR(INDEX(Lists!$B$4:$B$14,MATCH($K440,Lists!$A$4:$A$14,0)),0)))</f>
        <v/>
      </c>
    </row>
    <row r="441" customFormat="false" ht="15" hidden="false" customHeight="false" outlineLevel="0" collapsed="false">
      <c r="A441" s="25" t="str">
        <f aca="false">IF($B441="","","C-"&amp;TEXT(ROW()-1,"0000"))</f>
        <v/>
      </c>
      <c r="B441" s="21"/>
      <c r="C441" s="21"/>
      <c r="D441" s="21"/>
      <c r="E441" s="21"/>
      <c r="F441" s="25" t="str">
        <f aca="false">IF($E441="","",IFERROR(INDEX(Requisitions!$B$2:$B$101,MATCH($E441,Requisitions!$A$2:$A$101,0)),"Unknown Req"))</f>
        <v/>
      </c>
      <c r="G441" s="25" t="str">
        <f aca="false">IF($E441="","",IFERROR(INDEX(Requisitions!$D$2:$D$101,MATCH($E441,Requisitions!$A$2:$A$101,0)),""))</f>
        <v/>
      </c>
      <c r="H441" s="21"/>
      <c r="I441" s="21"/>
      <c r="J441" s="22"/>
      <c r="K441" s="21"/>
      <c r="L441" s="22"/>
      <c r="M441" s="25" t="str">
        <f aca="false">IF($K441="","",IFERROR(INDEX(Lists!$D$4:$D$14,MATCH($K441,Lists!$A$4:$A$14,0)),"Check stage"))</f>
        <v/>
      </c>
      <c r="N441" s="21"/>
      <c r="O441" s="21"/>
      <c r="P441" s="26"/>
      <c r="Q441" s="26"/>
      <c r="R441" s="21"/>
      <c r="S441" s="21"/>
      <c r="T441" s="22"/>
      <c r="U441" s="22"/>
      <c r="V441" s="24" t="str">
        <f aca="false">IF(OR(N($P441)=0,$Q441=""),"",$Q441/$P441-1)</f>
        <v/>
      </c>
      <c r="W441" s="25" t="str">
        <f aca="true">IF($J441="","",IF($M441="Active",TODAY(),IF($U441&lt;&gt;"",$U441,IF($L441&lt;&gt;"",$L441,TODAY())))-$J441)</f>
        <v/>
      </c>
      <c r="X441" s="25" t="str">
        <f aca="true">IF(OR($L441="",$M441&lt;&gt;"Active"),"",TODAY()-$L441)</f>
        <v/>
      </c>
      <c r="Y441" s="25" t="str">
        <f aca="false">IF($M441&lt;&gt;"Active","",INDEX(Lists!$C$4:$C$14,MATCH($K441,Lists!$A$4:$A$14,0)))</f>
        <v/>
      </c>
      <c r="Z441" s="25" t="str">
        <f aca="false">IF($B441="","",IF($M441&lt;&gt;"Active","Closed",IF($X441="","",IF($X441&gt;$Y441,"BREACH","On Track"))))</f>
        <v/>
      </c>
      <c r="AA441" s="25" t="str">
        <f aca="false">IF($K441="","",IFERROR(INDEX(Lists!$E$4:$E$14,MATCH($K441,Lists!$A$4:$A$14,0)),""))</f>
        <v/>
      </c>
      <c r="AB441" s="27" t="str">
        <f aca="false">IF($U441&lt;&gt;"",$U441,IF(OR($T441="",$M441&lt;&gt;"Active"),"",$T441+N($R441)))</f>
        <v/>
      </c>
      <c r="AC441" s="25" t="str">
        <f aca="false">IF(OR($T441="",$J441=""),"",$T441-$J441)</f>
        <v/>
      </c>
      <c r="AD441" s="25" t="str">
        <f aca="false">IF(AND($K441="Joined",$U441&lt;&gt;"",$J441&lt;&gt;""),$U441-$J441,"")</f>
        <v/>
      </c>
      <c r="AE441" s="25" t="str">
        <f aca="false">IF($K441="","",IF(OR($K441="Rejected",$K441="Withdrawn"),IFERROR(INDEX(Lists!$B$4:$B$14,MATCH($N441,Lists!$A$4:$A$14,0)),1),IFERROR(INDEX(Lists!$B$4:$B$14,MATCH($K441,Lists!$A$4:$A$14,0)),0)))</f>
        <v/>
      </c>
    </row>
    <row r="442" customFormat="false" ht="15" hidden="false" customHeight="false" outlineLevel="0" collapsed="false">
      <c r="A442" s="25" t="str">
        <f aca="false">IF($B442="","","C-"&amp;TEXT(ROW()-1,"0000"))</f>
        <v/>
      </c>
      <c r="B442" s="21"/>
      <c r="C442" s="21"/>
      <c r="D442" s="21"/>
      <c r="E442" s="21"/>
      <c r="F442" s="25" t="str">
        <f aca="false">IF($E442="","",IFERROR(INDEX(Requisitions!$B$2:$B$101,MATCH($E442,Requisitions!$A$2:$A$101,0)),"Unknown Req"))</f>
        <v/>
      </c>
      <c r="G442" s="25" t="str">
        <f aca="false">IF($E442="","",IFERROR(INDEX(Requisitions!$D$2:$D$101,MATCH($E442,Requisitions!$A$2:$A$101,0)),""))</f>
        <v/>
      </c>
      <c r="H442" s="21"/>
      <c r="I442" s="21"/>
      <c r="J442" s="22"/>
      <c r="K442" s="21"/>
      <c r="L442" s="22"/>
      <c r="M442" s="25" t="str">
        <f aca="false">IF($K442="","",IFERROR(INDEX(Lists!$D$4:$D$14,MATCH($K442,Lists!$A$4:$A$14,0)),"Check stage"))</f>
        <v/>
      </c>
      <c r="N442" s="21"/>
      <c r="O442" s="21"/>
      <c r="P442" s="26"/>
      <c r="Q442" s="26"/>
      <c r="R442" s="21"/>
      <c r="S442" s="21"/>
      <c r="T442" s="22"/>
      <c r="U442" s="22"/>
      <c r="V442" s="24" t="str">
        <f aca="false">IF(OR(N($P442)=0,$Q442=""),"",$Q442/$P442-1)</f>
        <v/>
      </c>
      <c r="W442" s="25" t="str">
        <f aca="true">IF($J442="","",IF($M442="Active",TODAY(),IF($U442&lt;&gt;"",$U442,IF($L442&lt;&gt;"",$L442,TODAY())))-$J442)</f>
        <v/>
      </c>
      <c r="X442" s="25" t="str">
        <f aca="true">IF(OR($L442="",$M442&lt;&gt;"Active"),"",TODAY()-$L442)</f>
        <v/>
      </c>
      <c r="Y442" s="25" t="str">
        <f aca="false">IF($M442&lt;&gt;"Active","",INDEX(Lists!$C$4:$C$14,MATCH($K442,Lists!$A$4:$A$14,0)))</f>
        <v/>
      </c>
      <c r="Z442" s="25" t="str">
        <f aca="false">IF($B442="","",IF($M442&lt;&gt;"Active","Closed",IF($X442="","",IF($X442&gt;$Y442,"BREACH","On Track"))))</f>
        <v/>
      </c>
      <c r="AA442" s="25" t="str">
        <f aca="false">IF($K442="","",IFERROR(INDEX(Lists!$E$4:$E$14,MATCH($K442,Lists!$A$4:$A$14,0)),""))</f>
        <v/>
      </c>
      <c r="AB442" s="27" t="str">
        <f aca="false">IF($U442&lt;&gt;"",$U442,IF(OR($T442="",$M442&lt;&gt;"Active"),"",$T442+N($R442)))</f>
        <v/>
      </c>
      <c r="AC442" s="25" t="str">
        <f aca="false">IF(OR($T442="",$J442=""),"",$T442-$J442)</f>
        <v/>
      </c>
      <c r="AD442" s="25" t="str">
        <f aca="false">IF(AND($K442="Joined",$U442&lt;&gt;"",$J442&lt;&gt;""),$U442-$J442,"")</f>
        <v/>
      </c>
      <c r="AE442" s="25" t="str">
        <f aca="false">IF($K442="","",IF(OR($K442="Rejected",$K442="Withdrawn"),IFERROR(INDEX(Lists!$B$4:$B$14,MATCH($N442,Lists!$A$4:$A$14,0)),1),IFERROR(INDEX(Lists!$B$4:$B$14,MATCH($K442,Lists!$A$4:$A$14,0)),0)))</f>
        <v/>
      </c>
    </row>
    <row r="443" customFormat="false" ht="15" hidden="false" customHeight="false" outlineLevel="0" collapsed="false">
      <c r="A443" s="25" t="str">
        <f aca="false">IF($B443="","","C-"&amp;TEXT(ROW()-1,"0000"))</f>
        <v/>
      </c>
      <c r="B443" s="21"/>
      <c r="C443" s="21"/>
      <c r="D443" s="21"/>
      <c r="E443" s="21"/>
      <c r="F443" s="25" t="str">
        <f aca="false">IF($E443="","",IFERROR(INDEX(Requisitions!$B$2:$B$101,MATCH($E443,Requisitions!$A$2:$A$101,0)),"Unknown Req"))</f>
        <v/>
      </c>
      <c r="G443" s="25" t="str">
        <f aca="false">IF($E443="","",IFERROR(INDEX(Requisitions!$D$2:$D$101,MATCH($E443,Requisitions!$A$2:$A$101,0)),""))</f>
        <v/>
      </c>
      <c r="H443" s="21"/>
      <c r="I443" s="21"/>
      <c r="J443" s="22"/>
      <c r="K443" s="21"/>
      <c r="L443" s="22"/>
      <c r="M443" s="25" t="str">
        <f aca="false">IF($K443="","",IFERROR(INDEX(Lists!$D$4:$D$14,MATCH($K443,Lists!$A$4:$A$14,0)),"Check stage"))</f>
        <v/>
      </c>
      <c r="N443" s="21"/>
      <c r="O443" s="21"/>
      <c r="P443" s="26"/>
      <c r="Q443" s="26"/>
      <c r="R443" s="21"/>
      <c r="S443" s="21"/>
      <c r="T443" s="22"/>
      <c r="U443" s="22"/>
      <c r="V443" s="24" t="str">
        <f aca="false">IF(OR(N($P443)=0,$Q443=""),"",$Q443/$P443-1)</f>
        <v/>
      </c>
      <c r="W443" s="25" t="str">
        <f aca="true">IF($J443="","",IF($M443="Active",TODAY(),IF($U443&lt;&gt;"",$U443,IF($L443&lt;&gt;"",$L443,TODAY())))-$J443)</f>
        <v/>
      </c>
      <c r="X443" s="25" t="str">
        <f aca="true">IF(OR($L443="",$M443&lt;&gt;"Active"),"",TODAY()-$L443)</f>
        <v/>
      </c>
      <c r="Y443" s="25" t="str">
        <f aca="false">IF($M443&lt;&gt;"Active","",INDEX(Lists!$C$4:$C$14,MATCH($K443,Lists!$A$4:$A$14,0)))</f>
        <v/>
      </c>
      <c r="Z443" s="25" t="str">
        <f aca="false">IF($B443="","",IF($M443&lt;&gt;"Active","Closed",IF($X443="","",IF($X443&gt;$Y443,"BREACH","On Track"))))</f>
        <v/>
      </c>
      <c r="AA443" s="25" t="str">
        <f aca="false">IF($K443="","",IFERROR(INDEX(Lists!$E$4:$E$14,MATCH($K443,Lists!$A$4:$A$14,0)),""))</f>
        <v/>
      </c>
      <c r="AB443" s="27" t="str">
        <f aca="false">IF($U443&lt;&gt;"",$U443,IF(OR($T443="",$M443&lt;&gt;"Active"),"",$T443+N($R443)))</f>
        <v/>
      </c>
      <c r="AC443" s="25" t="str">
        <f aca="false">IF(OR($T443="",$J443=""),"",$T443-$J443)</f>
        <v/>
      </c>
      <c r="AD443" s="25" t="str">
        <f aca="false">IF(AND($K443="Joined",$U443&lt;&gt;"",$J443&lt;&gt;""),$U443-$J443,"")</f>
        <v/>
      </c>
      <c r="AE443" s="25" t="str">
        <f aca="false">IF($K443="","",IF(OR($K443="Rejected",$K443="Withdrawn"),IFERROR(INDEX(Lists!$B$4:$B$14,MATCH($N443,Lists!$A$4:$A$14,0)),1),IFERROR(INDEX(Lists!$B$4:$B$14,MATCH($K443,Lists!$A$4:$A$14,0)),0)))</f>
        <v/>
      </c>
    </row>
    <row r="444" customFormat="false" ht="15" hidden="false" customHeight="false" outlineLevel="0" collapsed="false">
      <c r="A444" s="25" t="str">
        <f aca="false">IF($B444="","","C-"&amp;TEXT(ROW()-1,"0000"))</f>
        <v/>
      </c>
      <c r="B444" s="21"/>
      <c r="C444" s="21"/>
      <c r="D444" s="21"/>
      <c r="E444" s="21"/>
      <c r="F444" s="25" t="str">
        <f aca="false">IF($E444="","",IFERROR(INDEX(Requisitions!$B$2:$B$101,MATCH($E444,Requisitions!$A$2:$A$101,0)),"Unknown Req"))</f>
        <v/>
      </c>
      <c r="G444" s="25" t="str">
        <f aca="false">IF($E444="","",IFERROR(INDEX(Requisitions!$D$2:$D$101,MATCH($E444,Requisitions!$A$2:$A$101,0)),""))</f>
        <v/>
      </c>
      <c r="H444" s="21"/>
      <c r="I444" s="21"/>
      <c r="J444" s="22"/>
      <c r="K444" s="21"/>
      <c r="L444" s="22"/>
      <c r="M444" s="25" t="str">
        <f aca="false">IF($K444="","",IFERROR(INDEX(Lists!$D$4:$D$14,MATCH($K444,Lists!$A$4:$A$14,0)),"Check stage"))</f>
        <v/>
      </c>
      <c r="N444" s="21"/>
      <c r="O444" s="21"/>
      <c r="P444" s="26"/>
      <c r="Q444" s="26"/>
      <c r="R444" s="21"/>
      <c r="S444" s="21"/>
      <c r="T444" s="22"/>
      <c r="U444" s="22"/>
      <c r="V444" s="24" t="str">
        <f aca="false">IF(OR(N($P444)=0,$Q444=""),"",$Q444/$P444-1)</f>
        <v/>
      </c>
      <c r="W444" s="25" t="str">
        <f aca="true">IF($J444="","",IF($M444="Active",TODAY(),IF($U444&lt;&gt;"",$U444,IF($L444&lt;&gt;"",$L444,TODAY())))-$J444)</f>
        <v/>
      </c>
      <c r="X444" s="25" t="str">
        <f aca="true">IF(OR($L444="",$M444&lt;&gt;"Active"),"",TODAY()-$L444)</f>
        <v/>
      </c>
      <c r="Y444" s="25" t="str">
        <f aca="false">IF($M444&lt;&gt;"Active","",INDEX(Lists!$C$4:$C$14,MATCH($K444,Lists!$A$4:$A$14,0)))</f>
        <v/>
      </c>
      <c r="Z444" s="25" t="str">
        <f aca="false">IF($B444="","",IF($M444&lt;&gt;"Active","Closed",IF($X444="","",IF($X444&gt;$Y444,"BREACH","On Track"))))</f>
        <v/>
      </c>
      <c r="AA444" s="25" t="str">
        <f aca="false">IF($K444="","",IFERROR(INDEX(Lists!$E$4:$E$14,MATCH($K444,Lists!$A$4:$A$14,0)),""))</f>
        <v/>
      </c>
      <c r="AB444" s="27" t="str">
        <f aca="false">IF($U444&lt;&gt;"",$U444,IF(OR($T444="",$M444&lt;&gt;"Active"),"",$T444+N($R444)))</f>
        <v/>
      </c>
      <c r="AC444" s="25" t="str">
        <f aca="false">IF(OR($T444="",$J444=""),"",$T444-$J444)</f>
        <v/>
      </c>
      <c r="AD444" s="25" t="str">
        <f aca="false">IF(AND($K444="Joined",$U444&lt;&gt;"",$J444&lt;&gt;""),$U444-$J444,"")</f>
        <v/>
      </c>
      <c r="AE444" s="25" t="str">
        <f aca="false">IF($K444="","",IF(OR($K444="Rejected",$K444="Withdrawn"),IFERROR(INDEX(Lists!$B$4:$B$14,MATCH($N444,Lists!$A$4:$A$14,0)),1),IFERROR(INDEX(Lists!$B$4:$B$14,MATCH($K444,Lists!$A$4:$A$14,0)),0)))</f>
        <v/>
      </c>
    </row>
    <row r="445" customFormat="false" ht="15" hidden="false" customHeight="false" outlineLevel="0" collapsed="false">
      <c r="A445" s="25" t="str">
        <f aca="false">IF($B445="","","C-"&amp;TEXT(ROW()-1,"0000"))</f>
        <v/>
      </c>
      <c r="B445" s="21"/>
      <c r="C445" s="21"/>
      <c r="D445" s="21"/>
      <c r="E445" s="21"/>
      <c r="F445" s="25" t="str">
        <f aca="false">IF($E445="","",IFERROR(INDEX(Requisitions!$B$2:$B$101,MATCH($E445,Requisitions!$A$2:$A$101,0)),"Unknown Req"))</f>
        <v/>
      </c>
      <c r="G445" s="25" t="str">
        <f aca="false">IF($E445="","",IFERROR(INDEX(Requisitions!$D$2:$D$101,MATCH($E445,Requisitions!$A$2:$A$101,0)),""))</f>
        <v/>
      </c>
      <c r="H445" s="21"/>
      <c r="I445" s="21"/>
      <c r="J445" s="22"/>
      <c r="K445" s="21"/>
      <c r="L445" s="22"/>
      <c r="M445" s="25" t="str">
        <f aca="false">IF($K445="","",IFERROR(INDEX(Lists!$D$4:$D$14,MATCH($K445,Lists!$A$4:$A$14,0)),"Check stage"))</f>
        <v/>
      </c>
      <c r="N445" s="21"/>
      <c r="O445" s="21"/>
      <c r="P445" s="26"/>
      <c r="Q445" s="26"/>
      <c r="R445" s="21"/>
      <c r="S445" s="21"/>
      <c r="T445" s="22"/>
      <c r="U445" s="22"/>
      <c r="V445" s="24" t="str">
        <f aca="false">IF(OR(N($P445)=0,$Q445=""),"",$Q445/$P445-1)</f>
        <v/>
      </c>
      <c r="W445" s="25" t="str">
        <f aca="true">IF($J445="","",IF($M445="Active",TODAY(),IF($U445&lt;&gt;"",$U445,IF($L445&lt;&gt;"",$L445,TODAY())))-$J445)</f>
        <v/>
      </c>
      <c r="X445" s="25" t="str">
        <f aca="true">IF(OR($L445="",$M445&lt;&gt;"Active"),"",TODAY()-$L445)</f>
        <v/>
      </c>
      <c r="Y445" s="25" t="str">
        <f aca="false">IF($M445&lt;&gt;"Active","",INDEX(Lists!$C$4:$C$14,MATCH($K445,Lists!$A$4:$A$14,0)))</f>
        <v/>
      </c>
      <c r="Z445" s="25" t="str">
        <f aca="false">IF($B445="","",IF($M445&lt;&gt;"Active","Closed",IF($X445="","",IF($X445&gt;$Y445,"BREACH","On Track"))))</f>
        <v/>
      </c>
      <c r="AA445" s="25" t="str">
        <f aca="false">IF($K445="","",IFERROR(INDEX(Lists!$E$4:$E$14,MATCH($K445,Lists!$A$4:$A$14,0)),""))</f>
        <v/>
      </c>
      <c r="AB445" s="27" t="str">
        <f aca="false">IF($U445&lt;&gt;"",$U445,IF(OR($T445="",$M445&lt;&gt;"Active"),"",$T445+N($R445)))</f>
        <v/>
      </c>
      <c r="AC445" s="25" t="str">
        <f aca="false">IF(OR($T445="",$J445=""),"",$T445-$J445)</f>
        <v/>
      </c>
      <c r="AD445" s="25" t="str">
        <f aca="false">IF(AND($K445="Joined",$U445&lt;&gt;"",$J445&lt;&gt;""),$U445-$J445,"")</f>
        <v/>
      </c>
      <c r="AE445" s="25" t="str">
        <f aca="false">IF($K445="","",IF(OR($K445="Rejected",$K445="Withdrawn"),IFERROR(INDEX(Lists!$B$4:$B$14,MATCH($N445,Lists!$A$4:$A$14,0)),1),IFERROR(INDEX(Lists!$B$4:$B$14,MATCH($K445,Lists!$A$4:$A$14,0)),0)))</f>
        <v/>
      </c>
    </row>
    <row r="446" customFormat="false" ht="15" hidden="false" customHeight="false" outlineLevel="0" collapsed="false">
      <c r="A446" s="25" t="str">
        <f aca="false">IF($B446="","","C-"&amp;TEXT(ROW()-1,"0000"))</f>
        <v/>
      </c>
      <c r="B446" s="21"/>
      <c r="C446" s="21"/>
      <c r="D446" s="21"/>
      <c r="E446" s="21"/>
      <c r="F446" s="25" t="str">
        <f aca="false">IF($E446="","",IFERROR(INDEX(Requisitions!$B$2:$B$101,MATCH($E446,Requisitions!$A$2:$A$101,0)),"Unknown Req"))</f>
        <v/>
      </c>
      <c r="G446" s="25" t="str">
        <f aca="false">IF($E446="","",IFERROR(INDEX(Requisitions!$D$2:$D$101,MATCH($E446,Requisitions!$A$2:$A$101,0)),""))</f>
        <v/>
      </c>
      <c r="H446" s="21"/>
      <c r="I446" s="21"/>
      <c r="J446" s="22"/>
      <c r="K446" s="21"/>
      <c r="L446" s="22"/>
      <c r="M446" s="25" t="str">
        <f aca="false">IF($K446="","",IFERROR(INDEX(Lists!$D$4:$D$14,MATCH($K446,Lists!$A$4:$A$14,0)),"Check stage"))</f>
        <v/>
      </c>
      <c r="N446" s="21"/>
      <c r="O446" s="21"/>
      <c r="P446" s="26"/>
      <c r="Q446" s="26"/>
      <c r="R446" s="21"/>
      <c r="S446" s="21"/>
      <c r="T446" s="22"/>
      <c r="U446" s="22"/>
      <c r="V446" s="24" t="str">
        <f aca="false">IF(OR(N($P446)=0,$Q446=""),"",$Q446/$P446-1)</f>
        <v/>
      </c>
      <c r="W446" s="25" t="str">
        <f aca="true">IF($J446="","",IF($M446="Active",TODAY(),IF($U446&lt;&gt;"",$U446,IF($L446&lt;&gt;"",$L446,TODAY())))-$J446)</f>
        <v/>
      </c>
      <c r="X446" s="25" t="str">
        <f aca="true">IF(OR($L446="",$M446&lt;&gt;"Active"),"",TODAY()-$L446)</f>
        <v/>
      </c>
      <c r="Y446" s="25" t="str">
        <f aca="false">IF($M446&lt;&gt;"Active","",INDEX(Lists!$C$4:$C$14,MATCH($K446,Lists!$A$4:$A$14,0)))</f>
        <v/>
      </c>
      <c r="Z446" s="25" t="str">
        <f aca="false">IF($B446="","",IF($M446&lt;&gt;"Active","Closed",IF($X446="","",IF($X446&gt;$Y446,"BREACH","On Track"))))</f>
        <v/>
      </c>
      <c r="AA446" s="25" t="str">
        <f aca="false">IF($K446="","",IFERROR(INDEX(Lists!$E$4:$E$14,MATCH($K446,Lists!$A$4:$A$14,0)),""))</f>
        <v/>
      </c>
      <c r="AB446" s="27" t="str">
        <f aca="false">IF($U446&lt;&gt;"",$U446,IF(OR($T446="",$M446&lt;&gt;"Active"),"",$T446+N($R446)))</f>
        <v/>
      </c>
      <c r="AC446" s="25" t="str">
        <f aca="false">IF(OR($T446="",$J446=""),"",$T446-$J446)</f>
        <v/>
      </c>
      <c r="AD446" s="25" t="str">
        <f aca="false">IF(AND($K446="Joined",$U446&lt;&gt;"",$J446&lt;&gt;""),$U446-$J446,"")</f>
        <v/>
      </c>
      <c r="AE446" s="25" t="str">
        <f aca="false">IF($K446="","",IF(OR($K446="Rejected",$K446="Withdrawn"),IFERROR(INDEX(Lists!$B$4:$B$14,MATCH($N446,Lists!$A$4:$A$14,0)),1),IFERROR(INDEX(Lists!$B$4:$B$14,MATCH($K446,Lists!$A$4:$A$14,0)),0)))</f>
        <v/>
      </c>
    </row>
    <row r="447" customFormat="false" ht="15" hidden="false" customHeight="false" outlineLevel="0" collapsed="false">
      <c r="A447" s="25" t="str">
        <f aca="false">IF($B447="","","C-"&amp;TEXT(ROW()-1,"0000"))</f>
        <v/>
      </c>
      <c r="B447" s="21"/>
      <c r="C447" s="21"/>
      <c r="D447" s="21"/>
      <c r="E447" s="21"/>
      <c r="F447" s="25" t="str">
        <f aca="false">IF($E447="","",IFERROR(INDEX(Requisitions!$B$2:$B$101,MATCH($E447,Requisitions!$A$2:$A$101,0)),"Unknown Req"))</f>
        <v/>
      </c>
      <c r="G447" s="25" t="str">
        <f aca="false">IF($E447="","",IFERROR(INDEX(Requisitions!$D$2:$D$101,MATCH($E447,Requisitions!$A$2:$A$101,0)),""))</f>
        <v/>
      </c>
      <c r="H447" s="21"/>
      <c r="I447" s="21"/>
      <c r="J447" s="22"/>
      <c r="K447" s="21"/>
      <c r="L447" s="22"/>
      <c r="M447" s="25" t="str">
        <f aca="false">IF($K447="","",IFERROR(INDEX(Lists!$D$4:$D$14,MATCH($K447,Lists!$A$4:$A$14,0)),"Check stage"))</f>
        <v/>
      </c>
      <c r="N447" s="21"/>
      <c r="O447" s="21"/>
      <c r="P447" s="26"/>
      <c r="Q447" s="26"/>
      <c r="R447" s="21"/>
      <c r="S447" s="21"/>
      <c r="T447" s="22"/>
      <c r="U447" s="22"/>
      <c r="V447" s="24" t="str">
        <f aca="false">IF(OR(N($P447)=0,$Q447=""),"",$Q447/$P447-1)</f>
        <v/>
      </c>
      <c r="W447" s="25" t="str">
        <f aca="true">IF($J447="","",IF($M447="Active",TODAY(),IF($U447&lt;&gt;"",$U447,IF($L447&lt;&gt;"",$L447,TODAY())))-$J447)</f>
        <v/>
      </c>
      <c r="X447" s="25" t="str">
        <f aca="true">IF(OR($L447="",$M447&lt;&gt;"Active"),"",TODAY()-$L447)</f>
        <v/>
      </c>
      <c r="Y447" s="25" t="str">
        <f aca="false">IF($M447&lt;&gt;"Active","",INDEX(Lists!$C$4:$C$14,MATCH($K447,Lists!$A$4:$A$14,0)))</f>
        <v/>
      </c>
      <c r="Z447" s="25" t="str">
        <f aca="false">IF($B447="","",IF($M447&lt;&gt;"Active","Closed",IF($X447="","",IF($X447&gt;$Y447,"BREACH","On Track"))))</f>
        <v/>
      </c>
      <c r="AA447" s="25" t="str">
        <f aca="false">IF($K447="","",IFERROR(INDEX(Lists!$E$4:$E$14,MATCH($K447,Lists!$A$4:$A$14,0)),""))</f>
        <v/>
      </c>
      <c r="AB447" s="27" t="str">
        <f aca="false">IF($U447&lt;&gt;"",$U447,IF(OR($T447="",$M447&lt;&gt;"Active"),"",$T447+N($R447)))</f>
        <v/>
      </c>
      <c r="AC447" s="25" t="str">
        <f aca="false">IF(OR($T447="",$J447=""),"",$T447-$J447)</f>
        <v/>
      </c>
      <c r="AD447" s="25" t="str">
        <f aca="false">IF(AND($K447="Joined",$U447&lt;&gt;"",$J447&lt;&gt;""),$U447-$J447,"")</f>
        <v/>
      </c>
      <c r="AE447" s="25" t="str">
        <f aca="false">IF($K447="","",IF(OR($K447="Rejected",$K447="Withdrawn"),IFERROR(INDEX(Lists!$B$4:$B$14,MATCH($N447,Lists!$A$4:$A$14,0)),1),IFERROR(INDEX(Lists!$B$4:$B$14,MATCH($K447,Lists!$A$4:$A$14,0)),0)))</f>
        <v/>
      </c>
    </row>
    <row r="448" customFormat="false" ht="15" hidden="false" customHeight="false" outlineLevel="0" collapsed="false">
      <c r="A448" s="25" t="str">
        <f aca="false">IF($B448="","","C-"&amp;TEXT(ROW()-1,"0000"))</f>
        <v/>
      </c>
      <c r="B448" s="21"/>
      <c r="C448" s="21"/>
      <c r="D448" s="21"/>
      <c r="E448" s="21"/>
      <c r="F448" s="25" t="str">
        <f aca="false">IF($E448="","",IFERROR(INDEX(Requisitions!$B$2:$B$101,MATCH($E448,Requisitions!$A$2:$A$101,0)),"Unknown Req"))</f>
        <v/>
      </c>
      <c r="G448" s="25" t="str">
        <f aca="false">IF($E448="","",IFERROR(INDEX(Requisitions!$D$2:$D$101,MATCH($E448,Requisitions!$A$2:$A$101,0)),""))</f>
        <v/>
      </c>
      <c r="H448" s="21"/>
      <c r="I448" s="21"/>
      <c r="J448" s="22"/>
      <c r="K448" s="21"/>
      <c r="L448" s="22"/>
      <c r="M448" s="25" t="str">
        <f aca="false">IF($K448="","",IFERROR(INDEX(Lists!$D$4:$D$14,MATCH($K448,Lists!$A$4:$A$14,0)),"Check stage"))</f>
        <v/>
      </c>
      <c r="N448" s="21"/>
      <c r="O448" s="21"/>
      <c r="P448" s="26"/>
      <c r="Q448" s="26"/>
      <c r="R448" s="21"/>
      <c r="S448" s="21"/>
      <c r="T448" s="22"/>
      <c r="U448" s="22"/>
      <c r="V448" s="24" t="str">
        <f aca="false">IF(OR(N($P448)=0,$Q448=""),"",$Q448/$P448-1)</f>
        <v/>
      </c>
      <c r="W448" s="25" t="str">
        <f aca="true">IF($J448="","",IF($M448="Active",TODAY(),IF($U448&lt;&gt;"",$U448,IF($L448&lt;&gt;"",$L448,TODAY())))-$J448)</f>
        <v/>
      </c>
      <c r="X448" s="25" t="str">
        <f aca="true">IF(OR($L448="",$M448&lt;&gt;"Active"),"",TODAY()-$L448)</f>
        <v/>
      </c>
      <c r="Y448" s="25" t="str">
        <f aca="false">IF($M448&lt;&gt;"Active","",INDEX(Lists!$C$4:$C$14,MATCH($K448,Lists!$A$4:$A$14,0)))</f>
        <v/>
      </c>
      <c r="Z448" s="25" t="str">
        <f aca="false">IF($B448="","",IF($M448&lt;&gt;"Active","Closed",IF($X448="","",IF($X448&gt;$Y448,"BREACH","On Track"))))</f>
        <v/>
      </c>
      <c r="AA448" s="25" t="str">
        <f aca="false">IF($K448="","",IFERROR(INDEX(Lists!$E$4:$E$14,MATCH($K448,Lists!$A$4:$A$14,0)),""))</f>
        <v/>
      </c>
      <c r="AB448" s="27" t="str">
        <f aca="false">IF($U448&lt;&gt;"",$U448,IF(OR($T448="",$M448&lt;&gt;"Active"),"",$T448+N($R448)))</f>
        <v/>
      </c>
      <c r="AC448" s="25" t="str">
        <f aca="false">IF(OR($T448="",$J448=""),"",$T448-$J448)</f>
        <v/>
      </c>
      <c r="AD448" s="25" t="str">
        <f aca="false">IF(AND($K448="Joined",$U448&lt;&gt;"",$J448&lt;&gt;""),$U448-$J448,"")</f>
        <v/>
      </c>
      <c r="AE448" s="25" t="str">
        <f aca="false">IF($K448="","",IF(OR($K448="Rejected",$K448="Withdrawn"),IFERROR(INDEX(Lists!$B$4:$B$14,MATCH($N448,Lists!$A$4:$A$14,0)),1),IFERROR(INDEX(Lists!$B$4:$B$14,MATCH($K448,Lists!$A$4:$A$14,0)),0)))</f>
        <v/>
      </c>
    </row>
    <row r="449" customFormat="false" ht="15" hidden="false" customHeight="false" outlineLevel="0" collapsed="false">
      <c r="A449" s="25" t="str">
        <f aca="false">IF($B449="","","C-"&amp;TEXT(ROW()-1,"0000"))</f>
        <v/>
      </c>
      <c r="B449" s="21"/>
      <c r="C449" s="21"/>
      <c r="D449" s="21"/>
      <c r="E449" s="21"/>
      <c r="F449" s="25" t="str">
        <f aca="false">IF($E449="","",IFERROR(INDEX(Requisitions!$B$2:$B$101,MATCH($E449,Requisitions!$A$2:$A$101,0)),"Unknown Req"))</f>
        <v/>
      </c>
      <c r="G449" s="25" t="str">
        <f aca="false">IF($E449="","",IFERROR(INDEX(Requisitions!$D$2:$D$101,MATCH($E449,Requisitions!$A$2:$A$101,0)),""))</f>
        <v/>
      </c>
      <c r="H449" s="21"/>
      <c r="I449" s="21"/>
      <c r="J449" s="22"/>
      <c r="K449" s="21"/>
      <c r="L449" s="22"/>
      <c r="M449" s="25" t="str">
        <f aca="false">IF($K449="","",IFERROR(INDEX(Lists!$D$4:$D$14,MATCH($K449,Lists!$A$4:$A$14,0)),"Check stage"))</f>
        <v/>
      </c>
      <c r="N449" s="21"/>
      <c r="O449" s="21"/>
      <c r="P449" s="26"/>
      <c r="Q449" s="26"/>
      <c r="R449" s="21"/>
      <c r="S449" s="21"/>
      <c r="T449" s="22"/>
      <c r="U449" s="22"/>
      <c r="V449" s="24" t="str">
        <f aca="false">IF(OR(N($P449)=0,$Q449=""),"",$Q449/$P449-1)</f>
        <v/>
      </c>
      <c r="W449" s="25" t="str">
        <f aca="true">IF($J449="","",IF($M449="Active",TODAY(),IF($U449&lt;&gt;"",$U449,IF($L449&lt;&gt;"",$L449,TODAY())))-$J449)</f>
        <v/>
      </c>
      <c r="X449" s="25" t="str">
        <f aca="true">IF(OR($L449="",$M449&lt;&gt;"Active"),"",TODAY()-$L449)</f>
        <v/>
      </c>
      <c r="Y449" s="25" t="str">
        <f aca="false">IF($M449&lt;&gt;"Active","",INDEX(Lists!$C$4:$C$14,MATCH($K449,Lists!$A$4:$A$14,0)))</f>
        <v/>
      </c>
      <c r="Z449" s="25" t="str">
        <f aca="false">IF($B449="","",IF($M449&lt;&gt;"Active","Closed",IF($X449="","",IF($X449&gt;$Y449,"BREACH","On Track"))))</f>
        <v/>
      </c>
      <c r="AA449" s="25" t="str">
        <f aca="false">IF($K449="","",IFERROR(INDEX(Lists!$E$4:$E$14,MATCH($K449,Lists!$A$4:$A$14,0)),""))</f>
        <v/>
      </c>
      <c r="AB449" s="27" t="str">
        <f aca="false">IF($U449&lt;&gt;"",$U449,IF(OR($T449="",$M449&lt;&gt;"Active"),"",$T449+N($R449)))</f>
        <v/>
      </c>
      <c r="AC449" s="25" t="str">
        <f aca="false">IF(OR($T449="",$J449=""),"",$T449-$J449)</f>
        <v/>
      </c>
      <c r="AD449" s="25" t="str">
        <f aca="false">IF(AND($K449="Joined",$U449&lt;&gt;"",$J449&lt;&gt;""),$U449-$J449,"")</f>
        <v/>
      </c>
      <c r="AE449" s="25" t="str">
        <f aca="false">IF($K449="","",IF(OR($K449="Rejected",$K449="Withdrawn"),IFERROR(INDEX(Lists!$B$4:$B$14,MATCH($N449,Lists!$A$4:$A$14,0)),1),IFERROR(INDEX(Lists!$B$4:$B$14,MATCH($K449,Lists!$A$4:$A$14,0)),0)))</f>
        <v/>
      </c>
    </row>
    <row r="450" customFormat="false" ht="15" hidden="false" customHeight="false" outlineLevel="0" collapsed="false">
      <c r="A450" s="25" t="str">
        <f aca="false">IF($B450="","","C-"&amp;TEXT(ROW()-1,"0000"))</f>
        <v/>
      </c>
      <c r="B450" s="21"/>
      <c r="C450" s="21"/>
      <c r="D450" s="21"/>
      <c r="E450" s="21"/>
      <c r="F450" s="25" t="str">
        <f aca="false">IF($E450="","",IFERROR(INDEX(Requisitions!$B$2:$B$101,MATCH($E450,Requisitions!$A$2:$A$101,0)),"Unknown Req"))</f>
        <v/>
      </c>
      <c r="G450" s="25" t="str">
        <f aca="false">IF($E450="","",IFERROR(INDEX(Requisitions!$D$2:$D$101,MATCH($E450,Requisitions!$A$2:$A$101,0)),""))</f>
        <v/>
      </c>
      <c r="H450" s="21"/>
      <c r="I450" s="21"/>
      <c r="J450" s="22"/>
      <c r="K450" s="21"/>
      <c r="L450" s="22"/>
      <c r="M450" s="25" t="str">
        <f aca="false">IF($K450="","",IFERROR(INDEX(Lists!$D$4:$D$14,MATCH($K450,Lists!$A$4:$A$14,0)),"Check stage"))</f>
        <v/>
      </c>
      <c r="N450" s="21"/>
      <c r="O450" s="21"/>
      <c r="P450" s="26"/>
      <c r="Q450" s="26"/>
      <c r="R450" s="21"/>
      <c r="S450" s="21"/>
      <c r="T450" s="22"/>
      <c r="U450" s="22"/>
      <c r="V450" s="24" t="str">
        <f aca="false">IF(OR(N($P450)=0,$Q450=""),"",$Q450/$P450-1)</f>
        <v/>
      </c>
      <c r="W450" s="25" t="str">
        <f aca="true">IF($J450="","",IF($M450="Active",TODAY(),IF($U450&lt;&gt;"",$U450,IF($L450&lt;&gt;"",$L450,TODAY())))-$J450)</f>
        <v/>
      </c>
      <c r="X450" s="25" t="str">
        <f aca="true">IF(OR($L450="",$M450&lt;&gt;"Active"),"",TODAY()-$L450)</f>
        <v/>
      </c>
      <c r="Y450" s="25" t="str">
        <f aca="false">IF($M450&lt;&gt;"Active","",INDEX(Lists!$C$4:$C$14,MATCH($K450,Lists!$A$4:$A$14,0)))</f>
        <v/>
      </c>
      <c r="Z450" s="25" t="str">
        <f aca="false">IF($B450="","",IF($M450&lt;&gt;"Active","Closed",IF($X450="","",IF($X450&gt;$Y450,"BREACH","On Track"))))</f>
        <v/>
      </c>
      <c r="AA450" s="25" t="str">
        <f aca="false">IF($K450="","",IFERROR(INDEX(Lists!$E$4:$E$14,MATCH($K450,Lists!$A$4:$A$14,0)),""))</f>
        <v/>
      </c>
      <c r="AB450" s="27" t="str">
        <f aca="false">IF($U450&lt;&gt;"",$U450,IF(OR($T450="",$M450&lt;&gt;"Active"),"",$T450+N($R450)))</f>
        <v/>
      </c>
      <c r="AC450" s="25" t="str">
        <f aca="false">IF(OR($T450="",$J450=""),"",$T450-$J450)</f>
        <v/>
      </c>
      <c r="AD450" s="25" t="str">
        <f aca="false">IF(AND($K450="Joined",$U450&lt;&gt;"",$J450&lt;&gt;""),$U450-$J450,"")</f>
        <v/>
      </c>
      <c r="AE450" s="25" t="str">
        <f aca="false">IF($K450="","",IF(OR($K450="Rejected",$K450="Withdrawn"),IFERROR(INDEX(Lists!$B$4:$B$14,MATCH($N450,Lists!$A$4:$A$14,0)),1),IFERROR(INDEX(Lists!$B$4:$B$14,MATCH($K450,Lists!$A$4:$A$14,0)),0)))</f>
        <v/>
      </c>
    </row>
    <row r="451" customFormat="false" ht="15" hidden="false" customHeight="false" outlineLevel="0" collapsed="false">
      <c r="A451" s="25" t="str">
        <f aca="false">IF($B451="","","C-"&amp;TEXT(ROW()-1,"0000"))</f>
        <v/>
      </c>
      <c r="B451" s="21"/>
      <c r="C451" s="21"/>
      <c r="D451" s="21"/>
      <c r="E451" s="21"/>
      <c r="F451" s="25" t="str">
        <f aca="false">IF($E451="","",IFERROR(INDEX(Requisitions!$B$2:$B$101,MATCH($E451,Requisitions!$A$2:$A$101,0)),"Unknown Req"))</f>
        <v/>
      </c>
      <c r="G451" s="25" t="str">
        <f aca="false">IF($E451="","",IFERROR(INDEX(Requisitions!$D$2:$D$101,MATCH($E451,Requisitions!$A$2:$A$101,0)),""))</f>
        <v/>
      </c>
      <c r="H451" s="21"/>
      <c r="I451" s="21"/>
      <c r="J451" s="22"/>
      <c r="K451" s="21"/>
      <c r="L451" s="22"/>
      <c r="M451" s="25" t="str">
        <f aca="false">IF($K451="","",IFERROR(INDEX(Lists!$D$4:$D$14,MATCH($K451,Lists!$A$4:$A$14,0)),"Check stage"))</f>
        <v/>
      </c>
      <c r="N451" s="21"/>
      <c r="O451" s="21"/>
      <c r="P451" s="26"/>
      <c r="Q451" s="26"/>
      <c r="R451" s="21"/>
      <c r="S451" s="21"/>
      <c r="T451" s="22"/>
      <c r="U451" s="22"/>
      <c r="V451" s="24" t="str">
        <f aca="false">IF(OR(N($P451)=0,$Q451=""),"",$Q451/$P451-1)</f>
        <v/>
      </c>
      <c r="W451" s="25" t="str">
        <f aca="true">IF($J451="","",IF($M451="Active",TODAY(),IF($U451&lt;&gt;"",$U451,IF($L451&lt;&gt;"",$L451,TODAY())))-$J451)</f>
        <v/>
      </c>
      <c r="X451" s="25" t="str">
        <f aca="true">IF(OR($L451="",$M451&lt;&gt;"Active"),"",TODAY()-$L451)</f>
        <v/>
      </c>
      <c r="Y451" s="25" t="str">
        <f aca="false">IF($M451&lt;&gt;"Active","",INDEX(Lists!$C$4:$C$14,MATCH($K451,Lists!$A$4:$A$14,0)))</f>
        <v/>
      </c>
      <c r="Z451" s="25" t="str">
        <f aca="false">IF($B451="","",IF($M451&lt;&gt;"Active","Closed",IF($X451="","",IF($X451&gt;$Y451,"BREACH","On Track"))))</f>
        <v/>
      </c>
      <c r="AA451" s="25" t="str">
        <f aca="false">IF($K451="","",IFERROR(INDEX(Lists!$E$4:$E$14,MATCH($K451,Lists!$A$4:$A$14,0)),""))</f>
        <v/>
      </c>
      <c r="AB451" s="27" t="str">
        <f aca="false">IF($U451&lt;&gt;"",$U451,IF(OR($T451="",$M451&lt;&gt;"Active"),"",$T451+N($R451)))</f>
        <v/>
      </c>
      <c r="AC451" s="25" t="str">
        <f aca="false">IF(OR($T451="",$J451=""),"",$T451-$J451)</f>
        <v/>
      </c>
      <c r="AD451" s="25" t="str">
        <f aca="false">IF(AND($K451="Joined",$U451&lt;&gt;"",$J451&lt;&gt;""),$U451-$J451,"")</f>
        <v/>
      </c>
      <c r="AE451" s="25" t="str">
        <f aca="false">IF($K451="","",IF(OR($K451="Rejected",$K451="Withdrawn"),IFERROR(INDEX(Lists!$B$4:$B$14,MATCH($N451,Lists!$A$4:$A$14,0)),1),IFERROR(INDEX(Lists!$B$4:$B$14,MATCH($K451,Lists!$A$4:$A$14,0)),0)))</f>
        <v/>
      </c>
    </row>
    <row r="452" customFormat="false" ht="15" hidden="false" customHeight="false" outlineLevel="0" collapsed="false">
      <c r="A452" s="25" t="str">
        <f aca="false">IF($B452="","","C-"&amp;TEXT(ROW()-1,"0000"))</f>
        <v/>
      </c>
      <c r="B452" s="21"/>
      <c r="C452" s="21"/>
      <c r="D452" s="21"/>
      <c r="E452" s="21"/>
      <c r="F452" s="25" t="str">
        <f aca="false">IF($E452="","",IFERROR(INDEX(Requisitions!$B$2:$B$101,MATCH($E452,Requisitions!$A$2:$A$101,0)),"Unknown Req"))</f>
        <v/>
      </c>
      <c r="G452" s="25" t="str">
        <f aca="false">IF($E452="","",IFERROR(INDEX(Requisitions!$D$2:$D$101,MATCH($E452,Requisitions!$A$2:$A$101,0)),""))</f>
        <v/>
      </c>
      <c r="H452" s="21"/>
      <c r="I452" s="21"/>
      <c r="J452" s="22"/>
      <c r="K452" s="21"/>
      <c r="L452" s="22"/>
      <c r="M452" s="25" t="str">
        <f aca="false">IF($K452="","",IFERROR(INDEX(Lists!$D$4:$D$14,MATCH($K452,Lists!$A$4:$A$14,0)),"Check stage"))</f>
        <v/>
      </c>
      <c r="N452" s="21"/>
      <c r="O452" s="21"/>
      <c r="P452" s="26"/>
      <c r="Q452" s="26"/>
      <c r="R452" s="21"/>
      <c r="S452" s="21"/>
      <c r="T452" s="22"/>
      <c r="U452" s="22"/>
      <c r="V452" s="24" t="str">
        <f aca="false">IF(OR(N($P452)=0,$Q452=""),"",$Q452/$P452-1)</f>
        <v/>
      </c>
      <c r="W452" s="25" t="str">
        <f aca="true">IF($J452="","",IF($M452="Active",TODAY(),IF($U452&lt;&gt;"",$U452,IF($L452&lt;&gt;"",$L452,TODAY())))-$J452)</f>
        <v/>
      </c>
      <c r="X452" s="25" t="str">
        <f aca="true">IF(OR($L452="",$M452&lt;&gt;"Active"),"",TODAY()-$L452)</f>
        <v/>
      </c>
      <c r="Y452" s="25" t="str">
        <f aca="false">IF($M452&lt;&gt;"Active","",INDEX(Lists!$C$4:$C$14,MATCH($K452,Lists!$A$4:$A$14,0)))</f>
        <v/>
      </c>
      <c r="Z452" s="25" t="str">
        <f aca="false">IF($B452="","",IF($M452&lt;&gt;"Active","Closed",IF($X452="","",IF($X452&gt;$Y452,"BREACH","On Track"))))</f>
        <v/>
      </c>
      <c r="AA452" s="25" t="str">
        <f aca="false">IF($K452="","",IFERROR(INDEX(Lists!$E$4:$E$14,MATCH($K452,Lists!$A$4:$A$14,0)),""))</f>
        <v/>
      </c>
      <c r="AB452" s="27" t="str">
        <f aca="false">IF($U452&lt;&gt;"",$U452,IF(OR($T452="",$M452&lt;&gt;"Active"),"",$T452+N($R452)))</f>
        <v/>
      </c>
      <c r="AC452" s="25" t="str">
        <f aca="false">IF(OR($T452="",$J452=""),"",$T452-$J452)</f>
        <v/>
      </c>
      <c r="AD452" s="25" t="str">
        <f aca="false">IF(AND($K452="Joined",$U452&lt;&gt;"",$J452&lt;&gt;""),$U452-$J452,"")</f>
        <v/>
      </c>
      <c r="AE452" s="25" t="str">
        <f aca="false">IF($K452="","",IF(OR($K452="Rejected",$K452="Withdrawn"),IFERROR(INDEX(Lists!$B$4:$B$14,MATCH($N452,Lists!$A$4:$A$14,0)),1),IFERROR(INDEX(Lists!$B$4:$B$14,MATCH($K452,Lists!$A$4:$A$14,0)),0)))</f>
        <v/>
      </c>
    </row>
    <row r="453" customFormat="false" ht="15" hidden="false" customHeight="false" outlineLevel="0" collapsed="false">
      <c r="A453" s="25" t="str">
        <f aca="false">IF($B453="","","C-"&amp;TEXT(ROW()-1,"0000"))</f>
        <v/>
      </c>
      <c r="B453" s="21"/>
      <c r="C453" s="21"/>
      <c r="D453" s="21"/>
      <c r="E453" s="21"/>
      <c r="F453" s="25" t="str">
        <f aca="false">IF($E453="","",IFERROR(INDEX(Requisitions!$B$2:$B$101,MATCH($E453,Requisitions!$A$2:$A$101,0)),"Unknown Req"))</f>
        <v/>
      </c>
      <c r="G453" s="25" t="str">
        <f aca="false">IF($E453="","",IFERROR(INDEX(Requisitions!$D$2:$D$101,MATCH($E453,Requisitions!$A$2:$A$101,0)),""))</f>
        <v/>
      </c>
      <c r="H453" s="21"/>
      <c r="I453" s="21"/>
      <c r="J453" s="22"/>
      <c r="K453" s="21"/>
      <c r="L453" s="22"/>
      <c r="M453" s="25" t="str">
        <f aca="false">IF($K453="","",IFERROR(INDEX(Lists!$D$4:$D$14,MATCH($K453,Lists!$A$4:$A$14,0)),"Check stage"))</f>
        <v/>
      </c>
      <c r="N453" s="21"/>
      <c r="O453" s="21"/>
      <c r="P453" s="26"/>
      <c r="Q453" s="26"/>
      <c r="R453" s="21"/>
      <c r="S453" s="21"/>
      <c r="T453" s="22"/>
      <c r="U453" s="22"/>
      <c r="V453" s="24" t="str">
        <f aca="false">IF(OR(N($P453)=0,$Q453=""),"",$Q453/$P453-1)</f>
        <v/>
      </c>
      <c r="W453" s="25" t="str">
        <f aca="true">IF($J453="","",IF($M453="Active",TODAY(),IF($U453&lt;&gt;"",$U453,IF($L453&lt;&gt;"",$L453,TODAY())))-$J453)</f>
        <v/>
      </c>
      <c r="X453" s="25" t="str">
        <f aca="true">IF(OR($L453="",$M453&lt;&gt;"Active"),"",TODAY()-$L453)</f>
        <v/>
      </c>
      <c r="Y453" s="25" t="str">
        <f aca="false">IF($M453&lt;&gt;"Active","",INDEX(Lists!$C$4:$C$14,MATCH($K453,Lists!$A$4:$A$14,0)))</f>
        <v/>
      </c>
      <c r="Z453" s="25" t="str">
        <f aca="false">IF($B453="","",IF($M453&lt;&gt;"Active","Closed",IF($X453="","",IF($X453&gt;$Y453,"BREACH","On Track"))))</f>
        <v/>
      </c>
      <c r="AA453" s="25" t="str">
        <f aca="false">IF($K453="","",IFERROR(INDEX(Lists!$E$4:$E$14,MATCH($K453,Lists!$A$4:$A$14,0)),""))</f>
        <v/>
      </c>
      <c r="AB453" s="27" t="str">
        <f aca="false">IF($U453&lt;&gt;"",$U453,IF(OR($T453="",$M453&lt;&gt;"Active"),"",$T453+N($R453)))</f>
        <v/>
      </c>
      <c r="AC453" s="25" t="str">
        <f aca="false">IF(OR($T453="",$J453=""),"",$T453-$J453)</f>
        <v/>
      </c>
      <c r="AD453" s="25" t="str">
        <f aca="false">IF(AND($K453="Joined",$U453&lt;&gt;"",$J453&lt;&gt;""),$U453-$J453,"")</f>
        <v/>
      </c>
      <c r="AE453" s="25" t="str">
        <f aca="false">IF($K453="","",IF(OR($K453="Rejected",$K453="Withdrawn"),IFERROR(INDEX(Lists!$B$4:$B$14,MATCH($N453,Lists!$A$4:$A$14,0)),1),IFERROR(INDEX(Lists!$B$4:$B$14,MATCH($K453,Lists!$A$4:$A$14,0)),0)))</f>
        <v/>
      </c>
    </row>
    <row r="454" customFormat="false" ht="15" hidden="false" customHeight="false" outlineLevel="0" collapsed="false">
      <c r="A454" s="25" t="str">
        <f aca="false">IF($B454="","","C-"&amp;TEXT(ROW()-1,"0000"))</f>
        <v/>
      </c>
      <c r="B454" s="21"/>
      <c r="C454" s="21"/>
      <c r="D454" s="21"/>
      <c r="E454" s="21"/>
      <c r="F454" s="25" t="str">
        <f aca="false">IF($E454="","",IFERROR(INDEX(Requisitions!$B$2:$B$101,MATCH($E454,Requisitions!$A$2:$A$101,0)),"Unknown Req"))</f>
        <v/>
      </c>
      <c r="G454" s="25" t="str">
        <f aca="false">IF($E454="","",IFERROR(INDEX(Requisitions!$D$2:$D$101,MATCH($E454,Requisitions!$A$2:$A$101,0)),""))</f>
        <v/>
      </c>
      <c r="H454" s="21"/>
      <c r="I454" s="21"/>
      <c r="J454" s="22"/>
      <c r="K454" s="21"/>
      <c r="L454" s="22"/>
      <c r="M454" s="25" t="str">
        <f aca="false">IF($K454="","",IFERROR(INDEX(Lists!$D$4:$D$14,MATCH($K454,Lists!$A$4:$A$14,0)),"Check stage"))</f>
        <v/>
      </c>
      <c r="N454" s="21"/>
      <c r="O454" s="21"/>
      <c r="P454" s="26"/>
      <c r="Q454" s="26"/>
      <c r="R454" s="21"/>
      <c r="S454" s="21"/>
      <c r="T454" s="22"/>
      <c r="U454" s="22"/>
      <c r="V454" s="24" t="str">
        <f aca="false">IF(OR(N($P454)=0,$Q454=""),"",$Q454/$P454-1)</f>
        <v/>
      </c>
      <c r="W454" s="25" t="str">
        <f aca="true">IF($J454="","",IF($M454="Active",TODAY(),IF($U454&lt;&gt;"",$U454,IF($L454&lt;&gt;"",$L454,TODAY())))-$J454)</f>
        <v/>
      </c>
      <c r="X454" s="25" t="str">
        <f aca="true">IF(OR($L454="",$M454&lt;&gt;"Active"),"",TODAY()-$L454)</f>
        <v/>
      </c>
      <c r="Y454" s="25" t="str">
        <f aca="false">IF($M454&lt;&gt;"Active","",INDEX(Lists!$C$4:$C$14,MATCH($K454,Lists!$A$4:$A$14,0)))</f>
        <v/>
      </c>
      <c r="Z454" s="25" t="str">
        <f aca="false">IF($B454="","",IF($M454&lt;&gt;"Active","Closed",IF($X454="","",IF($X454&gt;$Y454,"BREACH","On Track"))))</f>
        <v/>
      </c>
      <c r="AA454" s="25" t="str">
        <f aca="false">IF($K454="","",IFERROR(INDEX(Lists!$E$4:$E$14,MATCH($K454,Lists!$A$4:$A$14,0)),""))</f>
        <v/>
      </c>
      <c r="AB454" s="27" t="str">
        <f aca="false">IF($U454&lt;&gt;"",$U454,IF(OR($T454="",$M454&lt;&gt;"Active"),"",$T454+N($R454)))</f>
        <v/>
      </c>
      <c r="AC454" s="25" t="str">
        <f aca="false">IF(OR($T454="",$J454=""),"",$T454-$J454)</f>
        <v/>
      </c>
      <c r="AD454" s="25" t="str">
        <f aca="false">IF(AND($K454="Joined",$U454&lt;&gt;"",$J454&lt;&gt;""),$U454-$J454,"")</f>
        <v/>
      </c>
      <c r="AE454" s="25" t="str">
        <f aca="false">IF($K454="","",IF(OR($K454="Rejected",$K454="Withdrawn"),IFERROR(INDEX(Lists!$B$4:$B$14,MATCH($N454,Lists!$A$4:$A$14,0)),1),IFERROR(INDEX(Lists!$B$4:$B$14,MATCH($K454,Lists!$A$4:$A$14,0)),0)))</f>
        <v/>
      </c>
    </row>
    <row r="455" customFormat="false" ht="15" hidden="false" customHeight="false" outlineLevel="0" collapsed="false">
      <c r="A455" s="25" t="str">
        <f aca="false">IF($B455="","","C-"&amp;TEXT(ROW()-1,"0000"))</f>
        <v/>
      </c>
      <c r="B455" s="21"/>
      <c r="C455" s="21"/>
      <c r="D455" s="21"/>
      <c r="E455" s="21"/>
      <c r="F455" s="25" t="str">
        <f aca="false">IF($E455="","",IFERROR(INDEX(Requisitions!$B$2:$B$101,MATCH($E455,Requisitions!$A$2:$A$101,0)),"Unknown Req"))</f>
        <v/>
      </c>
      <c r="G455" s="25" t="str">
        <f aca="false">IF($E455="","",IFERROR(INDEX(Requisitions!$D$2:$D$101,MATCH($E455,Requisitions!$A$2:$A$101,0)),""))</f>
        <v/>
      </c>
      <c r="H455" s="21"/>
      <c r="I455" s="21"/>
      <c r="J455" s="22"/>
      <c r="K455" s="21"/>
      <c r="L455" s="22"/>
      <c r="M455" s="25" t="str">
        <f aca="false">IF($K455="","",IFERROR(INDEX(Lists!$D$4:$D$14,MATCH($K455,Lists!$A$4:$A$14,0)),"Check stage"))</f>
        <v/>
      </c>
      <c r="N455" s="21"/>
      <c r="O455" s="21"/>
      <c r="P455" s="26"/>
      <c r="Q455" s="26"/>
      <c r="R455" s="21"/>
      <c r="S455" s="21"/>
      <c r="T455" s="22"/>
      <c r="U455" s="22"/>
      <c r="V455" s="24" t="str">
        <f aca="false">IF(OR(N($P455)=0,$Q455=""),"",$Q455/$P455-1)</f>
        <v/>
      </c>
      <c r="W455" s="25" t="str">
        <f aca="true">IF($J455="","",IF($M455="Active",TODAY(),IF($U455&lt;&gt;"",$U455,IF($L455&lt;&gt;"",$L455,TODAY())))-$J455)</f>
        <v/>
      </c>
      <c r="X455" s="25" t="str">
        <f aca="true">IF(OR($L455="",$M455&lt;&gt;"Active"),"",TODAY()-$L455)</f>
        <v/>
      </c>
      <c r="Y455" s="25" t="str">
        <f aca="false">IF($M455&lt;&gt;"Active","",INDEX(Lists!$C$4:$C$14,MATCH($K455,Lists!$A$4:$A$14,0)))</f>
        <v/>
      </c>
      <c r="Z455" s="25" t="str">
        <f aca="false">IF($B455="","",IF($M455&lt;&gt;"Active","Closed",IF($X455="","",IF($X455&gt;$Y455,"BREACH","On Track"))))</f>
        <v/>
      </c>
      <c r="AA455" s="25" t="str">
        <f aca="false">IF($K455="","",IFERROR(INDEX(Lists!$E$4:$E$14,MATCH($K455,Lists!$A$4:$A$14,0)),""))</f>
        <v/>
      </c>
      <c r="AB455" s="27" t="str">
        <f aca="false">IF($U455&lt;&gt;"",$U455,IF(OR($T455="",$M455&lt;&gt;"Active"),"",$T455+N($R455)))</f>
        <v/>
      </c>
      <c r="AC455" s="25" t="str">
        <f aca="false">IF(OR($T455="",$J455=""),"",$T455-$J455)</f>
        <v/>
      </c>
      <c r="AD455" s="25" t="str">
        <f aca="false">IF(AND($K455="Joined",$U455&lt;&gt;"",$J455&lt;&gt;""),$U455-$J455,"")</f>
        <v/>
      </c>
      <c r="AE455" s="25" t="str">
        <f aca="false">IF($K455="","",IF(OR($K455="Rejected",$K455="Withdrawn"),IFERROR(INDEX(Lists!$B$4:$B$14,MATCH($N455,Lists!$A$4:$A$14,0)),1),IFERROR(INDEX(Lists!$B$4:$B$14,MATCH($K455,Lists!$A$4:$A$14,0)),0)))</f>
        <v/>
      </c>
    </row>
    <row r="456" customFormat="false" ht="15" hidden="false" customHeight="false" outlineLevel="0" collapsed="false">
      <c r="A456" s="25" t="str">
        <f aca="false">IF($B456="","","C-"&amp;TEXT(ROW()-1,"0000"))</f>
        <v/>
      </c>
      <c r="B456" s="21"/>
      <c r="C456" s="21"/>
      <c r="D456" s="21"/>
      <c r="E456" s="21"/>
      <c r="F456" s="25" t="str">
        <f aca="false">IF($E456="","",IFERROR(INDEX(Requisitions!$B$2:$B$101,MATCH($E456,Requisitions!$A$2:$A$101,0)),"Unknown Req"))</f>
        <v/>
      </c>
      <c r="G456" s="25" t="str">
        <f aca="false">IF($E456="","",IFERROR(INDEX(Requisitions!$D$2:$D$101,MATCH($E456,Requisitions!$A$2:$A$101,0)),""))</f>
        <v/>
      </c>
      <c r="H456" s="21"/>
      <c r="I456" s="21"/>
      <c r="J456" s="22"/>
      <c r="K456" s="21"/>
      <c r="L456" s="22"/>
      <c r="M456" s="25" t="str">
        <f aca="false">IF($K456="","",IFERROR(INDEX(Lists!$D$4:$D$14,MATCH($K456,Lists!$A$4:$A$14,0)),"Check stage"))</f>
        <v/>
      </c>
      <c r="N456" s="21"/>
      <c r="O456" s="21"/>
      <c r="P456" s="26"/>
      <c r="Q456" s="26"/>
      <c r="R456" s="21"/>
      <c r="S456" s="21"/>
      <c r="T456" s="22"/>
      <c r="U456" s="22"/>
      <c r="V456" s="24" t="str">
        <f aca="false">IF(OR(N($P456)=0,$Q456=""),"",$Q456/$P456-1)</f>
        <v/>
      </c>
      <c r="W456" s="25" t="str">
        <f aca="true">IF($J456="","",IF($M456="Active",TODAY(),IF($U456&lt;&gt;"",$U456,IF($L456&lt;&gt;"",$L456,TODAY())))-$J456)</f>
        <v/>
      </c>
      <c r="X456" s="25" t="str">
        <f aca="true">IF(OR($L456="",$M456&lt;&gt;"Active"),"",TODAY()-$L456)</f>
        <v/>
      </c>
      <c r="Y456" s="25" t="str">
        <f aca="false">IF($M456&lt;&gt;"Active","",INDEX(Lists!$C$4:$C$14,MATCH($K456,Lists!$A$4:$A$14,0)))</f>
        <v/>
      </c>
      <c r="Z456" s="25" t="str">
        <f aca="false">IF($B456="","",IF($M456&lt;&gt;"Active","Closed",IF($X456="","",IF($X456&gt;$Y456,"BREACH","On Track"))))</f>
        <v/>
      </c>
      <c r="AA456" s="25" t="str">
        <f aca="false">IF($K456="","",IFERROR(INDEX(Lists!$E$4:$E$14,MATCH($K456,Lists!$A$4:$A$14,0)),""))</f>
        <v/>
      </c>
      <c r="AB456" s="27" t="str">
        <f aca="false">IF($U456&lt;&gt;"",$U456,IF(OR($T456="",$M456&lt;&gt;"Active"),"",$T456+N($R456)))</f>
        <v/>
      </c>
      <c r="AC456" s="25" t="str">
        <f aca="false">IF(OR($T456="",$J456=""),"",$T456-$J456)</f>
        <v/>
      </c>
      <c r="AD456" s="25" t="str">
        <f aca="false">IF(AND($K456="Joined",$U456&lt;&gt;"",$J456&lt;&gt;""),$U456-$J456,"")</f>
        <v/>
      </c>
      <c r="AE456" s="25" t="str">
        <f aca="false">IF($K456="","",IF(OR($K456="Rejected",$K456="Withdrawn"),IFERROR(INDEX(Lists!$B$4:$B$14,MATCH($N456,Lists!$A$4:$A$14,0)),1),IFERROR(INDEX(Lists!$B$4:$B$14,MATCH($K456,Lists!$A$4:$A$14,0)),0)))</f>
        <v/>
      </c>
    </row>
    <row r="457" customFormat="false" ht="15" hidden="false" customHeight="false" outlineLevel="0" collapsed="false">
      <c r="A457" s="25" t="str">
        <f aca="false">IF($B457="","","C-"&amp;TEXT(ROW()-1,"0000"))</f>
        <v/>
      </c>
      <c r="B457" s="21"/>
      <c r="C457" s="21"/>
      <c r="D457" s="21"/>
      <c r="E457" s="21"/>
      <c r="F457" s="25" t="str">
        <f aca="false">IF($E457="","",IFERROR(INDEX(Requisitions!$B$2:$B$101,MATCH($E457,Requisitions!$A$2:$A$101,0)),"Unknown Req"))</f>
        <v/>
      </c>
      <c r="G457" s="25" t="str">
        <f aca="false">IF($E457="","",IFERROR(INDEX(Requisitions!$D$2:$D$101,MATCH($E457,Requisitions!$A$2:$A$101,0)),""))</f>
        <v/>
      </c>
      <c r="H457" s="21"/>
      <c r="I457" s="21"/>
      <c r="J457" s="22"/>
      <c r="K457" s="21"/>
      <c r="L457" s="22"/>
      <c r="M457" s="25" t="str">
        <f aca="false">IF($K457="","",IFERROR(INDEX(Lists!$D$4:$D$14,MATCH($K457,Lists!$A$4:$A$14,0)),"Check stage"))</f>
        <v/>
      </c>
      <c r="N457" s="21"/>
      <c r="O457" s="21"/>
      <c r="P457" s="26"/>
      <c r="Q457" s="26"/>
      <c r="R457" s="21"/>
      <c r="S457" s="21"/>
      <c r="T457" s="22"/>
      <c r="U457" s="22"/>
      <c r="V457" s="24" t="str">
        <f aca="false">IF(OR(N($P457)=0,$Q457=""),"",$Q457/$P457-1)</f>
        <v/>
      </c>
      <c r="W457" s="25" t="str">
        <f aca="true">IF($J457="","",IF($M457="Active",TODAY(),IF($U457&lt;&gt;"",$U457,IF($L457&lt;&gt;"",$L457,TODAY())))-$J457)</f>
        <v/>
      </c>
      <c r="X457" s="25" t="str">
        <f aca="true">IF(OR($L457="",$M457&lt;&gt;"Active"),"",TODAY()-$L457)</f>
        <v/>
      </c>
      <c r="Y457" s="25" t="str">
        <f aca="false">IF($M457&lt;&gt;"Active","",INDEX(Lists!$C$4:$C$14,MATCH($K457,Lists!$A$4:$A$14,0)))</f>
        <v/>
      </c>
      <c r="Z457" s="25" t="str">
        <f aca="false">IF($B457="","",IF($M457&lt;&gt;"Active","Closed",IF($X457="","",IF($X457&gt;$Y457,"BREACH","On Track"))))</f>
        <v/>
      </c>
      <c r="AA457" s="25" t="str">
        <f aca="false">IF($K457="","",IFERROR(INDEX(Lists!$E$4:$E$14,MATCH($K457,Lists!$A$4:$A$14,0)),""))</f>
        <v/>
      </c>
      <c r="AB457" s="27" t="str">
        <f aca="false">IF($U457&lt;&gt;"",$U457,IF(OR($T457="",$M457&lt;&gt;"Active"),"",$T457+N($R457)))</f>
        <v/>
      </c>
      <c r="AC457" s="25" t="str">
        <f aca="false">IF(OR($T457="",$J457=""),"",$T457-$J457)</f>
        <v/>
      </c>
      <c r="AD457" s="25" t="str">
        <f aca="false">IF(AND($K457="Joined",$U457&lt;&gt;"",$J457&lt;&gt;""),$U457-$J457,"")</f>
        <v/>
      </c>
      <c r="AE457" s="25" t="str">
        <f aca="false">IF($K457="","",IF(OR($K457="Rejected",$K457="Withdrawn"),IFERROR(INDEX(Lists!$B$4:$B$14,MATCH($N457,Lists!$A$4:$A$14,0)),1),IFERROR(INDEX(Lists!$B$4:$B$14,MATCH($K457,Lists!$A$4:$A$14,0)),0)))</f>
        <v/>
      </c>
    </row>
    <row r="458" customFormat="false" ht="15" hidden="false" customHeight="false" outlineLevel="0" collapsed="false">
      <c r="A458" s="25" t="str">
        <f aca="false">IF($B458="","","C-"&amp;TEXT(ROW()-1,"0000"))</f>
        <v/>
      </c>
      <c r="B458" s="21"/>
      <c r="C458" s="21"/>
      <c r="D458" s="21"/>
      <c r="E458" s="21"/>
      <c r="F458" s="25" t="str">
        <f aca="false">IF($E458="","",IFERROR(INDEX(Requisitions!$B$2:$B$101,MATCH($E458,Requisitions!$A$2:$A$101,0)),"Unknown Req"))</f>
        <v/>
      </c>
      <c r="G458" s="25" t="str">
        <f aca="false">IF($E458="","",IFERROR(INDEX(Requisitions!$D$2:$D$101,MATCH($E458,Requisitions!$A$2:$A$101,0)),""))</f>
        <v/>
      </c>
      <c r="H458" s="21"/>
      <c r="I458" s="21"/>
      <c r="J458" s="22"/>
      <c r="K458" s="21"/>
      <c r="L458" s="22"/>
      <c r="M458" s="25" t="str">
        <f aca="false">IF($K458="","",IFERROR(INDEX(Lists!$D$4:$D$14,MATCH($K458,Lists!$A$4:$A$14,0)),"Check stage"))</f>
        <v/>
      </c>
      <c r="N458" s="21"/>
      <c r="O458" s="21"/>
      <c r="P458" s="26"/>
      <c r="Q458" s="26"/>
      <c r="R458" s="21"/>
      <c r="S458" s="21"/>
      <c r="T458" s="22"/>
      <c r="U458" s="22"/>
      <c r="V458" s="24" t="str">
        <f aca="false">IF(OR(N($P458)=0,$Q458=""),"",$Q458/$P458-1)</f>
        <v/>
      </c>
      <c r="W458" s="25" t="str">
        <f aca="true">IF($J458="","",IF($M458="Active",TODAY(),IF($U458&lt;&gt;"",$U458,IF($L458&lt;&gt;"",$L458,TODAY())))-$J458)</f>
        <v/>
      </c>
      <c r="X458" s="25" t="str">
        <f aca="true">IF(OR($L458="",$M458&lt;&gt;"Active"),"",TODAY()-$L458)</f>
        <v/>
      </c>
      <c r="Y458" s="25" t="str">
        <f aca="false">IF($M458&lt;&gt;"Active","",INDEX(Lists!$C$4:$C$14,MATCH($K458,Lists!$A$4:$A$14,0)))</f>
        <v/>
      </c>
      <c r="Z458" s="25" t="str">
        <f aca="false">IF($B458="","",IF($M458&lt;&gt;"Active","Closed",IF($X458="","",IF($X458&gt;$Y458,"BREACH","On Track"))))</f>
        <v/>
      </c>
      <c r="AA458" s="25" t="str">
        <f aca="false">IF($K458="","",IFERROR(INDEX(Lists!$E$4:$E$14,MATCH($K458,Lists!$A$4:$A$14,0)),""))</f>
        <v/>
      </c>
      <c r="AB458" s="27" t="str">
        <f aca="false">IF($U458&lt;&gt;"",$U458,IF(OR($T458="",$M458&lt;&gt;"Active"),"",$T458+N($R458)))</f>
        <v/>
      </c>
      <c r="AC458" s="25" t="str">
        <f aca="false">IF(OR($T458="",$J458=""),"",$T458-$J458)</f>
        <v/>
      </c>
      <c r="AD458" s="25" t="str">
        <f aca="false">IF(AND($K458="Joined",$U458&lt;&gt;"",$J458&lt;&gt;""),$U458-$J458,"")</f>
        <v/>
      </c>
      <c r="AE458" s="25" t="str">
        <f aca="false">IF($K458="","",IF(OR($K458="Rejected",$K458="Withdrawn"),IFERROR(INDEX(Lists!$B$4:$B$14,MATCH($N458,Lists!$A$4:$A$14,0)),1),IFERROR(INDEX(Lists!$B$4:$B$14,MATCH($K458,Lists!$A$4:$A$14,0)),0)))</f>
        <v/>
      </c>
    </row>
    <row r="459" customFormat="false" ht="15" hidden="false" customHeight="false" outlineLevel="0" collapsed="false">
      <c r="A459" s="25" t="str">
        <f aca="false">IF($B459="","","C-"&amp;TEXT(ROW()-1,"0000"))</f>
        <v/>
      </c>
      <c r="B459" s="21"/>
      <c r="C459" s="21"/>
      <c r="D459" s="21"/>
      <c r="E459" s="21"/>
      <c r="F459" s="25" t="str">
        <f aca="false">IF($E459="","",IFERROR(INDEX(Requisitions!$B$2:$B$101,MATCH($E459,Requisitions!$A$2:$A$101,0)),"Unknown Req"))</f>
        <v/>
      </c>
      <c r="G459" s="25" t="str">
        <f aca="false">IF($E459="","",IFERROR(INDEX(Requisitions!$D$2:$D$101,MATCH($E459,Requisitions!$A$2:$A$101,0)),""))</f>
        <v/>
      </c>
      <c r="H459" s="21"/>
      <c r="I459" s="21"/>
      <c r="J459" s="22"/>
      <c r="K459" s="21"/>
      <c r="L459" s="22"/>
      <c r="M459" s="25" t="str">
        <f aca="false">IF($K459="","",IFERROR(INDEX(Lists!$D$4:$D$14,MATCH($K459,Lists!$A$4:$A$14,0)),"Check stage"))</f>
        <v/>
      </c>
      <c r="N459" s="21"/>
      <c r="O459" s="21"/>
      <c r="P459" s="26"/>
      <c r="Q459" s="26"/>
      <c r="R459" s="21"/>
      <c r="S459" s="21"/>
      <c r="T459" s="22"/>
      <c r="U459" s="22"/>
      <c r="V459" s="24" t="str">
        <f aca="false">IF(OR(N($P459)=0,$Q459=""),"",$Q459/$P459-1)</f>
        <v/>
      </c>
      <c r="W459" s="25" t="str">
        <f aca="true">IF($J459="","",IF($M459="Active",TODAY(),IF($U459&lt;&gt;"",$U459,IF($L459&lt;&gt;"",$L459,TODAY())))-$J459)</f>
        <v/>
      </c>
      <c r="X459" s="25" t="str">
        <f aca="true">IF(OR($L459="",$M459&lt;&gt;"Active"),"",TODAY()-$L459)</f>
        <v/>
      </c>
      <c r="Y459" s="25" t="str">
        <f aca="false">IF($M459&lt;&gt;"Active","",INDEX(Lists!$C$4:$C$14,MATCH($K459,Lists!$A$4:$A$14,0)))</f>
        <v/>
      </c>
      <c r="Z459" s="25" t="str">
        <f aca="false">IF($B459="","",IF($M459&lt;&gt;"Active","Closed",IF($X459="","",IF($X459&gt;$Y459,"BREACH","On Track"))))</f>
        <v/>
      </c>
      <c r="AA459" s="25" t="str">
        <f aca="false">IF($K459="","",IFERROR(INDEX(Lists!$E$4:$E$14,MATCH($K459,Lists!$A$4:$A$14,0)),""))</f>
        <v/>
      </c>
      <c r="AB459" s="27" t="str">
        <f aca="false">IF($U459&lt;&gt;"",$U459,IF(OR($T459="",$M459&lt;&gt;"Active"),"",$T459+N($R459)))</f>
        <v/>
      </c>
      <c r="AC459" s="25" t="str">
        <f aca="false">IF(OR($T459="",$J459=""),"",$T459-$J459)</f>
        <v/>
      </c>
      <c r="AD459" s="25" t="str">
        <f aca="false">IF(AND($K459="Joined",$U459&lt;&gt;"",$J459&lt;&gt;""),$U459-$J459,"")</f>
        <v/>
      </c>
      <c r="AE459" s="25" t="str">
        <f aca="false">IF($K459="","",IF(OR($K459="Rejected",$K459="Withdrawn"),IFERROR(INDEX(Lists!$B$4:$B$14,MATCH($N459,Lists!$A$4:$A$14,0)),1),IFERROR(INDEX(Lists!$B$4:$B$14,MATCH($K459,Lists!$A$4:$A$14,0)),0)))</f>
        <v/>
      </c>
    </row>
    <row r="460" customFormat="false" ht="15" hidden="false" customHeight="false" outlineLevel="0" collapsed="false">
      <c r="A460" s="25" t="str">
        <f aca="false">IF($B460="","","C-"&amp;TEXT(ROW()-1,"0000"))</f>
        <v/>
      </c>
      <c r="B460" s="21"/>
      <c r="C460" s="21"/>
      <c r="D460" s="21"/>
      <c r="E460" s="21"/>
      <c r="F460" s="25" t="str">
        <f aca="false">IF($E460="","",IFERROR(INDEX(Requisitions!$B$2:$B$101,MATCH($E460,Requisitions!$A$2:$A$101,0)),"Unknown Req"))</f>
        <v/>
      </c>
      <c r="G460" s="25" t="str">
        <f aca="false">IF($E460="","",IFERROR(INDEX(Requisitions!$D$2:$D$101,MATCH($E460,Requisitions!$A$2:$A$101,0)),""))</f>
        <v/>
      </c>
      <c r="H460" s="21"/>
      <c r="I460" s="21"/>
      <c r="J460" s="22"/>
      <c r="K460" s="21"/>
      <c r="L460" s="22"/>
      <c r="M460" s="25" t="str">
        <f aca="false">IF($K460="","",IFERROR(INDEX(Lists!$D$4:$D$14,MATCH($K460,Lists!$A$4:$A$14,0)),"Check stage"))</f>
        <v/>
      </c>
      <c r="N460" s="21"/>
      <c r="O460" s="21"/>
      <c r="P460" s="26"/>
      <c r="Q460" s="26"/>
      <c r="R460" s="21"/>
      <c r="S460" s="21"/>
      <c r="T460" s="22"/>
      <c r="U460" s="22"/>
      <c r="V460" s="24" t="str">
        <f aca="false">IF(OR(N($P460)=0,$Q460=""),"",$Q460/$P460-1)</f>
        <v/>
      </c>
      <c r="W460" s="25" t="str">
        <f aca="true">IF($J460="","",IF($M460="Active",TODAY(),IF($U460&lt;&gt;"",$U460,IF($L460&lt;&gt;"",$L460,TODAY())))-$J460)</f>
        <v/>
      </c>
      <c r="X460" s="25" t="str">
        <f aca="true">IF(OR($L460="",$M460&lt;&gt;"Active"),"",TODAY()-$L460)</f>
        <v/>
      </c>
      <c r="Y460" s="25" t="str">
        <f aca="false">IF($M460&lt;&gt;"Active","",INDEX(Lists!$C$4:$C$14,MATCH($K460,Lists!$A$4:$A$14,0)))</f>
        <v/>
      </c>
      <c r="Z460" s="25" t="str">
        <f aca="false">IF($B460="","",IF($M460&lt;&gt;"Active","Closed",IF($X460="","",IF($X460&gt;$Y460,"BREACH","On Track"))))</f>
        <v/>
      </c>
      <c r="AA460" s="25" t="str">
        <f aca="false">IF($K460="","",IFERROR(INDEX(Lists!$E$4:$E$14,MATCH($K460,Lists!$A$4:$A$14,0)),""))</f>
        <v/>
      </c>
      <c r="AB460" s="27" t="str">
        <f aca="false">IF($U460&lt;&gt;"",$U460,IF(OR($T460="",$M460&lt;&gt;"Active"),"",$T460+N($R460)))</f>
        <v/>
      </c>
      <c r="AC460" s="25" t="str">
        <f aca="false">IF(OR($T460="",$J460=""),"",$T460-$J460)</f>
        <v/>
      </c>
      <c r="AD460" s="25" t="str">
        <f aca="false">IF(AND($K460="Joined",$U460&lt;&gt;"",$J460&lt;&gt;""),$U460-$J460,"")</f>
        <v/>
      </c>
      <c r="AE460" s="25" t="str">
        <f aca="false">IF($K460="","",IF(OR($K460="Rejected",$K460="Withdrawn"),IFERROR(INDEX(Lists!$B$4:$B$14,MATCH($N460,Lists!$A$4:$A$14,0)),1),IFERROR(INDEX(Lists!$B$4:$B$14,MATCH($K460,Lists!$A$4:$A$14,0)),0)))</f>
        <v/>
      </c>
    </row>
    <row r="461" customFormat="false" ht="15" hidden="false" customHeight="false" outlineLevel="0" collapsed="false">
      <c r="A461" s="25" t="str">
        <f aca="false">IF($B461="","","C-"&amp;TEXT(ROW()-1,"0000"))</f>
        <v/>
      </c>
      <c r="B461" s="21"/>
      <c r="C461" s="21"/>
      <c r="D461" s="21"/>
      <c r="E461" s="21"/>
      <c r="F461" s="25" t="str">
        <f aca="false">IF($E461="","",IFERROR(INDEX(Requisitions!$B$2:$B$101,MATCH($E461,Requisitions!$A$2:$A$101,0)),"Unknown Req"))</f>
        <v/>
      </c>
      <c r="G461" s="25" t="str">
        <f aca="false">IF($E461="","",IFERROR(INDEX(Requisitions!$D$2:$D$101,MATCH($E461,Requisitions!$A$2:$A$101,0)),""))</f>
        <v/>
      </c>
      <c r="H461" s="21"/>
      <c r="I461" s="21"/>
      <c r="J461" s="22"/>
      <c r="K461" s="21"/>
      <c r="L461" s="22"/>
      <c r="M461" s="25" t="str">
        <f aca="false">IF($K461="","",IFERROR(INDEX(Lists!$D$4:$D$14,MATCH($K461,Lists!$A$4:$A$14,0)),"Check stage"))</f>
        <v/>
      </c>
      <c r="N461" s="21"/>
      <c r="O461" s="21"/>
      <c r="P461" s="26"/>
      <c r="Q461" s="26"/>
      <c r="R461" s="21"/>
      <c r="S461" s="21"/>
      <c r="T461" s="22"/>
      <c r="U461" s="22"/>
      <c r="V461" s="24" t="str">
        <f aca="false">IF(OR(N($P461)=0,$Q461=""),"",$Q461/$P461-1)</f>
        <v/>
      </c>
      <c r="W461" s="25" t="str">
        <f aca="true">IF($J461="","",IF($M461="Active",TODAY(),IF($U461&lt;&gt;"",$U461,IF($L461&lt;&gt;"",$L461,TODAY())))-$J461)</f>
        <v/>
      </c>
      <c r="X461" s="25" t="str">
        <f aca="true">IF(OR($L461="",$M461&lt;&gt;"Active"),"",TODAY()-$L461)</f>
        <v/>
      </c>
      <c r="Y461" s="25" t="str">
        <f aca="false">IF($M461&lt;&gt;"Active","",INDEX(Lists!$C$4:$C$14,MATCH($K461,Lists!$A$4:$A$14,0)))</f>
        <v/>
      </c>
      <c r="Z461" s="25" t="str">
        <f aca="false">IF($B461="","",IF($M461&lt;&gt;"Active","Closed",IF($X461="","",IF($X461&gt;$Y461,"BREACH","On Track"))))</f>
        <v/>
      </c>
      <c r="AA461" s="25" t="str">
        <f aca="false">IF($K461="","",IFERROR(INDEX(Lists!$E$4:$E$14,MATCH($K461,Lists!$A$4:$A$14,0)),""))</f>
        <v/>
      </c>
      <c r="AB461" s="27" t="str">
        <f aca="false">IF($U461&lt;&gt;"",$U461,IF(OR($T461="",$M461&lt;&gt;"Active"),"",$T461+N($R461)))</f>
        <v/>
      </c>
      <c r="AC461" s="25" t="str">
        <f aca="false">IF(OR($T461="",$J461=""),"",$T461-$J461)</f>
        <v/>
      </c>
      <c r="AD461" s="25" t="str">
        <f aca="false">IF(AND($K461="Joined",$U461&lt;&gt;"",$J461&lt;&gt;""),$U461-$J461,"")</f>
        <v/>
      </c>
      <c r="AE461" s="25" t="str">
        <f aca="false">IF($K461="","",IF(OR($K461="Rejected",$K461="Withdrawn"),IFERROR(INDEX(Lists!$B$4:$B$14,MATCH($N461,Lists!$A$4:$A$14,0)),1),IFERROR(INDEX(Lists!$B$4:$B$14,MATCH($K461,Lists!$A$4:$A$14,0)),0)))</f>
        <v/>
      </c>
    </row>
    <row r="462" customFormat="false" ht="15" hidden="false" customHeight="false" outlineLevel="0" collapsed="false">
      <c r="A462" s="25" t="str">
        <f aca="false">IF($B462="","","C-"&amp;TEXT(ROW()-1,"0000"))</f>
        <v/>
      </c>
      <c r="B462" s="21"/>
      <c r="C462" s="21"/>
      <c r="D462" s="21"/>
      <c r="E462" s="21"/>
      <c r="F462" s="25" t="str">
        <f aca="false">IF($E462="","",IFERROR(INDEX(Requisitions!$B$2:$B$101,MATCH($E462,Requisitions!$A$2:$A$101,0)),"Unknown Req"))</f>
        <v/>
      </c>
      <c r="G462" s="25" t="str">
        <f aca="false">IF($E462="","",IFERROR(INDEX(Requisitions!$D$2:$D$101,MATCH($E462,Requisitions!$A$2:$A$101,0)),""))</f>
        <v/>
      </c>
      <c r="H462" s="21"/>
      <c r="I462" s="21"/>
      <c r="J462" s="22"/>
      <c r="K462" s="21"/>
      <c r="L462" s="22"/>
      <c r="M462" s="25" t="str">
        <f aca="false">IF($K462="","",IFERROR(INDEX(Lists!$D$4:$D$14,MATCH($K462,Lists!$A$4:$A$14,0)),"Check stage"))</f>
        <v/>
      </c>
      <c r="N462" s="21"/>
      <c r="O462" s="21"/>
      <c r="P462" s="26"/>
      <c r="Q462" s="26"/>
      <c r="R462" s="21"/>
      <c r="S462" s="21"/>
      <c r="T462" s="22"/>
      <c r="U462" s="22"/>
      <c r="V462" s="24" t="str">
        <f aca="false">IF(OR(N($P462)=0,$Q462=""),"",$Q462/$P462-1)</f>
        <v/>
      </c>
      <c r="W462" s="25" t="str">
        <f aca="true">IF($J462="","",IF($M462="Active",TODAY(),IF($U462&lt;&gt;"",$U462,IF($L462&lt;&gt;"",$L462,TODAY())))-$J462)</f>
        <v/>
      </c>
      <c r="X462" s="25" t="str">
        <f aca="true">IF(OR($L462="",$M462&lt;&gt;"Active"),"",TODAY()-$L462)</f>
        <v/>
      </c>
      <c r="Y462" s="25" t="str">
        <f aca="false">IF($M462&lt;&gt;"Active","",INDEX(Lists!$C$4:$C$14,MATCH($K462,Lists!$A$4:$A$14,0)))</f>
        <v/>
      </c>
      <c r="Z462" s="25" t="str">
        <f aca="false">IF($B462="","",IF($M462&lt;&gt;"Active","Closed",IF($X462="","",IF($X462&gt;$Y462,"BREACH","On Track"))))</f>
        <v/>
      </c>
      <c r="AA462" s="25" t="str">
        <f aca="false">IF($K462="","",IFERROR(INDEX(Lists!$E$4:$E$14,MATCH($K462,Lists!$A$4:$A$14,0)),""))</f>
        <v/>
      </c>
      <c r="AB462" s="27" t="str">
        <f aca="false">IF($U462&lt;&gt;"",$U462,IF(OR($T462="",$M462&lt;&gt;"Active"),"",$T462+N($R462)))</f>
        <v/>
      </c>
      <c r="AC462" s="25" t="str">
        <f aca="false">IF(OR($T462="",$J462=""),"",$T462-$J462)</f>
        <v/>
      </c>
      <c r="AD462" s="25" t="str">
        <f aca="false">IF(AND($K462="Joined",$U462&lt;&gt;"",$J462&lt;&gt;""),$U462-$J462,"")</f>
        <v/>
      </c>
      <c r="AE462" s="25" t="str">
        <f aca="false">IF($K462="","",IF(OR($K462="Rejected",$K462="Withdrawn"),IFERROR(INDEX(Lists!$B$4:$B$14,MATCH($N462,Lists!$A$4:$A$14,0)),1),IFERROR(INDEX(Lists!$B$4:$B$14,MATCH($K462,Lists!$A$4:$A$14,0)),0)))</f>
        <v/>
      </c>
    </row>
    <row r="463" customFormat="false" ht="15" hidden="false" customHeight="false" outlineLevel="0" collapsed="false">
      <c r="A463" s="25" t="str">
        <f aca="false">IF($B463="","","C-"&amp;TEXT(ROW()-1,"0000"))</f>
        <v/>
      </c>
      <c r="B463" s="21"/>
      <c r="C463" s="21"/>
      <c r="D463" s="21"/>
      <c r="E463" s="21"/>
      <c r="F463" s="25" t="str">
        <f aca="false">IF($E463="","",IFERROR(INDEX(Requisitions!$B$2:$B$101,MATCH($E463,Requisitions!$A$2:$A$101,0)),"Unknown Req"))</f>
        <v/>
      </c>
      <c r="G463" s="25" t="str">
        <f aca="false">IF($E463="","",IFERROR(INDEX(Requisitions!$D$2:$D$101,MATCH($E463,Requisitions!$A$2:$A$101,0)),""))</f>
        <v/>
      </c>
      <c r="H463" s="21"/>
      <c r="I463" s="21"/>
      <c r="J463" s="22"/>
      <c r="K463" s="21"/>
      <c r="L463" s="22"/>
      <c r="M463" s="25" t="str">
        <f aca="false">IF($K463="","",IFERROR(INDEX(Lists!$D$4:$D$14,MATCH($K463,Lists!$A$4:$A$14,0)),"Check stage"))</f>
        <v/>
      </c>
      <c r="N463" s="21"/>
      <c r="O463" s="21"/>
      <c r="P463" s="26"/>
      <c r="Q463" s="26"/>
      <c r="R463" s="21"/>
      <c r="S463" s="21"/>
      <c r="T463" s="22"/>
      <c r="U463" s="22"/>
      <c r="V463" s="24" t="str">
        <f aca="false">IF(OR(N($P463)=0,$Q463=""),"",$Q463/$P463-1)</f>
        <v/>
      </c>
      <c r="W463" s="25" t="str">
        <f aca="true">IF($J463="","",IF($M463="Active",TODAY(),IF($U463&lt;&gt;"",$U463,IF($L463&lt;&gt;"",$L463,TODAY())))-$J463)</f>
        <v/>
      </c>
      <c r="X463" s="25" t="str">
        <f aca="true">IF(OR($L463="",$M463&lt;&gt;"Active"),"",TODAY()-$L463)</f>
        <v/>
      </c>
      <c r="Y463" s="25" t="str">
        <f aca="false">IF($M463&lt;&gt;"Active","",INDEX(Lists!$C$4:$C$14,MATCH($K463,Lists!$A$4:$A$14,0)))</f>
        <v/>
      </c>
      <c r="Z463" s="25" t="str">
        <f aca="false">IF($B463="","",IF($M463&lt;&gt;"Active","Closed",IF($X463="","",IF($X463&gt;$Y463,"BREACH","On Track"))))</f>
        <v/>
      </c>
      <c r="AA463" s="25" t="str">
        <f aca="false">IF($K463="","",IFERROR(INDEX(Lists!$E$4:$E$14,MATCH($K463,Lists!$A$4:$A$14,0)),""))</f>
        <v/>
      </c>
      <c r="AB463" s="27" t="str">
        <f aca="false">IF($U463&lt;&gt;"",$U463,IF(OR($T463="",$M463&lt;&gt;"Active"),"",$T463+N($R463)))</f>
        <v/>
      </c>
      <c r="AC463" s="25" t="str">
        <f aca="false">IF(OR($T463="",$J463=""),"",$T463-$J463)</f>
        <v/>
      </c>
      <c r="AD463" s="25" t="str">
        <f aca="false">IF(AND($K463="Joined",$U463&lt;&gt;"",$J463&lt;&gt;""),$U463-$J463,"")</f>
        <v/>
      </c>
      <c r="AE463" s="25" t="str">
        <f aca="false">IF($K463="","",IF(OR($K463="Rejected",$K463="Withdrawn"),IFERROR(INDEX(Lists!$B$4:$B$14,MATCH($N463,Lists!$A$4:$A$14,0)),1),IFERROR(INDEX(Lists!$B$4:$B$14,MATCH($K463,Lists!$A$4:$A$14,0)),0)))</f>
        <v/>
      </c>
    </row>
    <row r="464" customFormat="false" ht="15" hidden="false" customHeight="false" outlineLevel="0" collapsed="false">
      <c r="A464" s="25" t="str">
        <f aca="false">IF($B464="","","C-"&amp;TEXT(ROW()-1,"0000"))</f>
        <v/>
      </c>
      <c r="B464" s="21"/>
      <c r="C464" s="21"/>
      <c r="D464" s="21"/>
      <c r="E464" s="21"/>
      <c r="F464" s="25" t="str">
        <f aca="false">IF($E464="","",IFERROR(INDEX(Requisitions!$B$2:$B$101,MATCH($E464,Requisitions!$A$2:$A$101,0)),"Unknown Req"))</f>
        <v/>
      </c>
      <c r="G464" s="25" t="str">
        <f aca="false">IF($E464="","",IFERROR(INDEX(Requisitions!$D$2:$D$101,MATCH($E464,Requisitions!$A$2:$A$101,0)),""))</f>
        <v/>
      </c>
      <c r="H464" s="21"/>
      <c r="I464" s="21"/>
      <c r="J464" s="22"/>
      <c r="K464" s="21"/>
      <c r="L464" s="22"/>
      <c r="M464" s="25" t="str">
        <f aca="false">IF($K464="","",IFERROR(INDEX(Lists!$D$4:$D$14,MATCH($K464,Lists!$A$4:$A$14,0)),"Check stage"))</f>
        <v/>
      </c>
      <c r="N464" s="21"/>
      <c r="O464" s="21"/>
      <c r="P464" s="26"/>
      <c r="Q464" s="26"/>
      <c r="R464" s="21"/>
      <c r="S464" s="21"/>
      <c r="T464" s="22"/>
      <c r="U464" s="22"/>
      <c r="V464" s="24" t="str">
        <f aca="false">IF(OR(N($P464)=0,$Q464=""),"",$Q464/$P464-1)</f>
        <v/>
      </c>
      <c r="W464" s="25" t="str">
        <f aca="true">IF($J464="","",IF($M464="Active",TODAY(),IF($U464&lt;&gt;"",$U464,IF($L464&lt;&gt;"",$L464,TODAY())))-$J464)</f>
        <v/>
      </c>
      <c r="X464" s="25" t="str">
        <f aca="true">IF(OR($L464="",$M464&lt;&gt;"Active"),"",TODAY()-$L464)</f>
        <v/>
      </c>
      <c r="Y464" s="25" t="str">
        <f aca="false">IF($M464&lt;&gt;"Active","",INDEX(Lists!$C$4:$C$14,MATCH($K464,Lists!$A$4:$A$14,0)))</f>
        <v/>
      </c>
      <c r="Z464" s="25" t="str">
        <f aca="false">IF($B464="","",IF($M464&lt;&gt;"Active","Closed",IF($X464="","",IF($X464&gt;$Y464,"BREACH","On Track"))))</f>
        <v/>
      </c>
      <c r="AA464" s="25" t="str">
        <f aca="false">IF($K464="","",IFERROR(INDEX(Lists!$E$4:$E$14,MATCH($K464,Lists!$A$4:$A$14,0)),""))</f>
        <v/>
      </c>
      <c r="AB464" s="27" t="str">
        <f aca="false">IF($U464&lt;&gt;"",$U464,IF(OR($T464="",$M464&lt;&gt;"Active"),"",$T464+N($R464)))</f>
        <v/>
      </c>
      <c r="AC464" s="25" t="str">
        <f aca="false">IF(OR($T464="",$J464=""),"",$T464-$J464)</f>
        <v/>
      </c>
      <c r="AD464" s="25" t="str">
        <f aca="false">IF(AND($K464="Joined",$U464&lt;&gt;"",$J464&lt;&gt;""),$U464-$J464,"")</f>
        <v/>
      </c>
      <c r="AE464" s="25" t="str">
        <f aca="false">IF($K464="","",IF(OR($K464="Rejected",$K464="Withdrawn"),IFERROR(INDEX(Lists!$B$4:$B$14,MATCH($N464,Lists!$A$4:$A$14,0)),1),IFERROR(INDEX(Lists!$B$4:$B$14,MATCH($K464,Lists!$A$4:$A$14,0)),0)))</f>
        <v/>
      </c>
    </row>
    <row r="465" customFormat="false" ht="15" hidden="false" customHeight="false" outlineLevel="0" collapsed="false">
      <c r="A465" s="25" t="str">
        <f aca="false">IF($B465="","","C-"&amp;TEXT(ROW()-1,"0000"))</f>
        <v/>
      </c>
      <c r="B465" s="21"/>
      <c r="C465" s="21"/>
      <c r="D465" s="21"/>
      <c r="E465" s="21"/>
      <c r="F465" s="25" t="str">
        <f aca="false">IF($E465="","",IFERROR(INDEX(Requisitions!$B$2:$B$101,MATCH($E465,Requisitions!$A$2:$A$101,0)),"Unknown Req"))</f>
        <v/>
      </c>
      <c r="G465" s="25" t="str">
        <f aca="false">IF($E465="","",IFERROR(INDEX(Requisitions!$D$2:$D$101,MATCH($E465,Requisitions!$A$2:$A$101,0)),""))</f>
        <v/>
      </c>
      <c r="H465" s="21"/>
      <c r="I465" s="21"/>
      <c r="J465" s="22"/>
      <c r="K465" s="21"/>
      <c r="L465" s="22"/>
      <c r="M465" s="25" t="str">
        <f aca="false">IF($K465="","",IFERROR(INDEX(Lists!$D$4:$D$14,MATCH($K465,Lists!$A$4:$A$14,0)),"Check stage"))</f>
        <v/>
      </c>
      <c r="N465" s="21"/>
      <c r="O465" s="21"/>
      <c r="P465" s="26"/>
      <c r="Q465" s="26"/>
      <c r="R465" s="21"/>
      <c r="S465" s="21"/>
      <c r="T465" s="22"/>
      <c r="U465" s="22"/>
      <c r="V465" s="24" t="str">
        <f aca="false">IF(OR(N($P465)=0,$Q465=""),"",$Q465/$P465-1)</f>
        <v/>
      </c>
      <c r="W465" s="25" t="str">
        <f aca="true">IF($J465="","",IF($M465="Active",TODAY(),IF($U465&lt;&gt;"",$U465,IF($L465&lt;&gt;"",$L465,TODAY())))-$J465)</f>
        <v/>
      </c>
      <c r="X465" s="25" t="str">
        <f aca="true">IF(OR($L465="",$M465&lt;&gt;"Active"),"",TODAY()-$L465)</f>
        <v/>
      </c>
      <c r="Y465" s="25" t="str">
        <f aca="false">IF($M465&lt;&gt;"Active","",INDEX(Lists!$C$4:$C$14,MATCH($K465,Lists!$A$4:$A$14,0)))</f>
        <v/>
      </c>
      <c r="Z465" s="25" t="str">
        <f aca="false">IF($B465="","",IF($M465&lt;&gt;"Active","Closed",IF($X465="","",IF($X465&gt;$Y465,"BREACH","On Track"))))</f>
        <v/>
      </c>
      <c r="AA465" s="25" t="str">
        <f aca="false">IF($K465="","",IFERROR(INDEX(Lists!$E$4:$E$14,MATCH($K465,Lists!$A$4:$A$14,0)),""))</f>
        <v/>
      </c>
      <c r="AB465" s="27" t="str">
        <f aca="false">IF($U465&lt;&gt;"",$U465,IF(OR($T465="",$M465&lt;&gt;"Active"),"",$T465+N($R465)))</f>
        <v/>
      </c>
      <c r="AC465" s="25" t="str">
        <f aca="false">IF(OR($T465="",$J465=""),"",$T465-$J465)</f>
        <v/>
      </c>
      <c r="AD465" s="25" t="str">
        <f aca="false">IF(AND($K465="Joined",$U465&lt;&gt;"",$J465&lt;&gt;""),$U465-$J465,"")</f>
        <v/>
      </c>
      <c r="AE465" s="25" t="str">
        <f aca="false">IF($K465="","",IF(OR($K465="Rejected",$K465="Withdrawn"),IFERROR(INDEX(Lists!$B$4:$B$14,MATCH($N465,Lists!$A$4:$A$14,0)),1),IFERROR(INDEX(Lists!$B$4:$B$14,MATCH($K465,Lists!$A$4:$A$14,0)),0)))</f>
        <v/>
      </c>
    </row>
    <row r="466" customFormat="false" ht="15" hidden="false" customHeight="false" outlineLevel="0" collapsed="false">
      <c r="A466" s="25" t="str">
        <f aca="false">IF($B466="","","C-"&amp;TEXT(ROW()-1,"0000"))</f>
        <v/>
      </c>
      <c r="B466" s="21"/>
      <c r="C466" s="21"/>
      <c r="D466" s="21"/>
      <c r="E466" s="21"/>
      <c r="F466" s="25" t="str">
        <f aca="false">IF($E466="","",IFERROR(INDEX(Requisitions!$B$2:$B$101,MATCH($E466,Requisitions!$A$2:$A$101,0)),"Unknown Req"))</f>
        <v/>
      </c>
      <c r="G466" s="25" t="str">
        <f aca="false">IF($E466="","",IFERROR(INDEX(Requisitions!$D$2:$D$101,MATCH($E466,Requisitions!$A$2:$A$101,0)),""))</f>
        <v/>
      </c>
      <c r="H466" s="21"/>
      <c r="I466" s="21"/>
      <c r="J466" s="22"/>
      <c r="K466" s="21"/>
      <c r="L466" s="22"/>
      <c r="M466" s="25" t="str">
        <f aca="false">IF($K466="","",IFERROR(INDEX(Lists!$D$4:$D$14,MATCH($K466,Lists!$A$4:$A$14,0)),"Check stage"))</f>
        <v/>
      </c>
      <c r="N466" s="21"/>
      <c r="O466" s="21"/>
      <c r="P466" s="26"/>
      <c r="Q466" s="26"/>
      <c r="R466" s="21"/>
      <c r="S466" s="21"/>
      <c r="T466" s="22"/>
      <c r="U466" s="22"/>
      <c r="V466" s="24" t="str">
        <f aca="false">IF(OR(N($P466)=0,$Q466=""),"",$Q466/$P466-1)</f>
        <v/>
      </c>
      <c r="W466" s="25" t="str">
        <f aca="true">IF($J466="","",IF($M466="Active",TODAY(),IF($U466&lt;&gt;"",$U466,IF($L466&lt;&gt;"",$L466,TODAY())))-$J466)</f>
        <v/>
      </c>
      <c r="X466" s="25" t="str">
        <f aca="true">IF(OR($L466="",$M466&lt;&gt;"Active"),"",TODAY()-$L466)</f>
        <v/>
      </c>
      <c r="Y466" s="25" t="str">
        <f aca="false">IF($M466&lt;&gt;"Active","",INDEX(Lists!$C$4:$C$14,MATCH($K466,Lists!$A$4:$A$14,0)))</f>
        <v/>
      </c>
      <c r="Z466" s="25" t="str">
        <f aca="false">IF($B466="","",IF($M466&lt;&gt;"Active","Closed",IF($X466="","",IF($X466&gt;$Y466,"BREACH","On Track"))))</f>
        <v/>
      </c>
      <c r="AA466" s="25" t="str">
        <f aca="false">IF($K466="","",IFERROR(INDEX(Lists!$E$4:$E$14,MATCH($K466,Lists!$A$4:$A$14,0)),""))</f>
        <v/>
      </c>
      <c r="AB466" s="27" t="str">
        <f aca="false">IF($U466&lt;&gt;"",$U466,IF(OR($T466="",$M466&lt;&gt;"Active"),"",$T466+N($R466)))</f>
        <v/>
      </c>
      <c r="AC466" s="25" t="str">
        <f aca="false">IF(OR($T466="",$J466=""),"",$T466-$J466)</f>
        <v/>
      </c>
      <c r="AD466" s="25" t="str">
        <f aca="false">IF(AND($K466="Joined",$U466&lt;&gt;"",$J466&lt;&gt;""),$U466-$J466,"")</f>
        <v/>
      </c>
      <c r="AE466" s="25" t="str">
        <f aca="false">IF($K466="","",IF(OR($K466="Rejected",$K466="Withdrawn"),IFERROR(INDEX(Lists!$B$4:$B$14,MATCH($N466,Lists!$A$4:$A$14,0)),1),IFERROR(INDEX(Lists!$B$4:$B$14,MATCH($K466,Lists!$A$4:$A$14,0)),0)))</f>
        <v/>
      </c>
    </row>
    <row r="467" customFormat="false" ht="15" hidden="false" customHeight="false" outlineLevel="0" collapsed="false">
      <c r="A467" s="25" t="str">
        <f aca="false">IF($B467="","","C-"&amp;TEXT(ROW()-1,"0000"))</f>
        <v/>
      </c>
      <c r="B467" s="21"/>
      <c r="C467" s="21"/>
      <c r="D467" s="21"/>
      <c r="E467" s="21"/>
      <c r="F467" s="25" t="str">
        <f aca="false">IF($E467="","",IFERROR(INDEX(Requisitions!$B$2:$B$101,MATCH($E467,Requisitions!$A$2:$A$101,0)),"Unknown Req"))</f>
        <v/>
      </c>
      <c r="G467" s="25" t="str">
        <f aca="false">IF($E467="","",IFERROR(INDEX(Requisitions!$D$2:$D$101,MATCH($E467,Requisitions!$A$2:$A$101,0)),""))</f>
        <v/>
      </c>
      <c r="H467" s="21"/>
      <c r="I467" s="21"/>
      <c r="J467" s="22"/>
      <c r="K467" s="21"/>
      <c r="L467" s="22"/>
      <c r="M467" s="25" t="str">
        <f aca="false">IF($K467="","",IFERROR(INDEX(Lists!$D$4:$D$14,MATCH($K467,Lists!$A$4:$A$14,0)),"Check stage"))</f>
        <v/>
      </c>
      <c r="N467" s="21"/>
      <c r="O467" s="21"/>
      <c r="P467" s="26"/>
      <c r="Q467" s="26"/>
      <c r="R467" s="21"/>
      <c r="S467" s="21"/>
      <c r="T467" s="22"/>
      <c r="U467" s="22"/>
      <c r="V467" s="24" t="str">
        <f aca="false">IF(OR(N($P467)=0,$Q467=""),"",$Q467/$P467-1)</f>
        <v/>
      </c>
      <c r="W467" s="25" t="str">
        <f aca="true">IF($J467="","",IF($M467="Active",TODAY(),IF($U467&lt;&gt;"",$U467,IF($L467&lt;&gt;"",$L467,TODAY())))-$J467)</f>
        <v/>
      </c>
      <c r="X467" s="25" t="str">
        <f aca="true">IF(OR($L467="",$M467&lt;&gt;"Active"),"",TODAY()-$L467)</f>
        <v/>
      </c>
      <c r="Y467" s="25" t="str">
        <f aca="false">IF($M467&lt;&gt;"Active","",INDEX(Lists!$C$4:$C$14,MATCH($K467,Lists!$A$4:$A$14,0)))</f>
        <v/>
      </c>
      <c r="Z467" s="25" t="str">
        <f aca="false">IF($B467="","",IF($M467&lt;&gt;"Active","Closed",IF($X467="","",IF($X467&gt;$Y467,"BREACH","On Track"))))</f>
        <v/>
      </c>
      <c r="AA467" s="25" t="str">
        <f aca="false">IF($K467="","",IFERROR(INDEX(Lists!$E$4:$E$14,MATCH($K467,Lists!$A$4:$A$14,0)),""))</f>
        <v/>
      </c>
      <c r="AB467" s="27" t="str">
        <f aca="false">IF($U467&lt;&gt;"",$U467,IF(OR($T467="",$M467&lt;&gt;"Active"),"",$T467+N($R467)))</f>
        <v/>
      </c>
      <c r="AC467" s="25" t="str">
        <f aca="false">IF(OR($T467="",$J467=""),"",$T467-$J467)</f>
        <v/>
      </c>
      <c r="AD467" s="25" t="str">
        <f aca="false">IF(AND($K467="Joined",$U467&lt;&gt;"",$J467&lt;&gt;""),$U467-$J467,"")</f>
        <v/>
      </c>
      <c r="AE467" s="25" t="str">
        <f aca="false">IF($K467="","",IF(OR($K467="Rejected",$K467="Withdrawn"),IFERROR(INDEX(Lists!$B$4:$B$14,MATCH($N467,Lists!$A$4:$A$14,0)),1),IFERROR(INDEX(Lists!$B$4:$B$14,MATCH($K467,Lists!$A$4:$A$14,0)),0)))</f>
        <v/>
      </c>
    </row>
    <row r="468" customFormat="false" ht="15" hidden="false" customHeight="false" outlineLevel="0" collapsed="false">
      <c r="A468" s="25" t="str">
        <f aca="false">IF($B468="","","C-"&amp;TEXT(ROW()-1,"0000"))</f>
        <v/>
      </c>
      <c r="B468" s="21"/>
      <c r="C468" s="21"/>
      <c r="D468" s="21"/>
      <c r="E468" s="21"/>
      <c r="F468" s="25" t="str">
        <f aca="false">IF($E468="","",IFERROR(INDEX(Requisitions!$B$2:$B$101,MATCH($E468,Requisitions!$A$2:$A$101,0)),"Unknown Req"))</f>
        <v/>
      </c>
      <c r="G468" s="25" t="str">
        <f aca="false">IF($E468="","",IFERROR(INDEX(Requisitions!$D$2:$D$101,MATCH($E468,Requisitions!$A$2:$A$101,0)),""))</f>
        <v/>
      </c>
      <c r="H468" s="21"/>
      <c r="I468" s="21"/>
      <c r="J468" s="22"/>
      <c r="K468" s="21"/>
      <c r="L468" s="22"/>
      <c r="M468" s="25" t="str">
        <f aca="false">IF($K468="","",IFERROR(INDEX(Lists!$D$4:$D$14,MATCH($K468,Lists!$A$4:$A$14,0)),"Check stage"))</f>
        <v/>
      </c>
      <c r="N468" s="21"/>
      <c r="O468" s="21"/>
      <c r="P468" s="26"/>
      <c r="Q468" s="26"/>
      <c r="R468" s="21"/>
      <c r="S468" s="21"/>
      <c r="T468" s="22"/>
      <c r="U468" s="22"/>
      <c r="V468" s="24" t="str">
        <f aca="false">IF(OR(N($P468)=0,$Q468=""),"",$Q468/$P468-1)</f>
        <v/>
      </c>
      <c r="W468" s="25" t="str">
        <f aca="true">IF($J468="","",IF($M468="Active",TODAY(),IF($U468&lt;&gt;"",$U468,IF($L468&lt;&gt;"",$L468,TODAY())))-$J468)</f>
        <v/>
      </c>
      <c r="X468" s="25" t="str">
        <f aca="true">IF(OR($L468="",$M468&lt;&gt;"Active"),"",TODAY()-$L468)</f>
        <v/>
      </c>
      <c r="Y468" s="25" t="str">
        <f aca="false">IF($M468&lt;&gt;"Active","",INDEX(Lists!$C$4:$C$14,MATCH($K468,Lists!$A$4:$A$14,0)))</f>
        <v/>
      </c>
      <c r="Z468" s="25" t="str">
        <f aca="false">IF($B468="","",IF($M468&lt;&gt;"Active","Closed",IF($X468="","",IF($X468&gt;$Y468,"BREACH","On Track"))))</f>
        <v/>
      </c>
      <c r="AA468" s="25" t="str">
        <f aca="false">IF($K468="","",IFERROR(INDEX(Lists!$E$4:$E$14,MATCH($K468,Lists!$A$4:$A$14,0)),""))</f>
        <v/>
      </c>
      <c r="AB468" s="27" t="str">
        <f aca="false">IF($U468&lt;&gt;"",$U468,IF(OR($T468="",$M468&lt;&gt;"Active"),"",$T468+N($R468)))</f>
        <v/>
      </c>
      <c r="AC468" s="25" t="str">
        <f aca="false">IF(OR($T468="",$J468=""),"",$T468-$J468)</f>
        <v/>
      </c>
      <c r="AD468" s="25" t="str">
        <f aca="false">IF(AND($K468="Joined",$U468&lt;&gt;"",$J468&lt;&gt;""),$U468-$J468,"")</f>
        <v/>
      </c>
      <c r="AE468" s="25" t="str">
        <f aca="false">IF($K468="","",IF(OR($K468="Rejected",$K468="Withdrawn"),IFERROR(INDEX(Lists!$B$4:$B$14,MATCH($N468,Lists!$A$4:$A$14,0)),1),IFERROR(INDEX(Lists!$B$4:$B$14,MATCH($K468,Lists!$A$4:$A$14,0)),0)))</f>
        <v/>
      </c>
    </row>
    <row r="469" customFormat="false" ht="15" hidden="false" customHeight="false" outlineLevel="0" collapsed="false">
      <c r="A469" s="25" t="str">
        <f aca="false">IF($B469="","","C-"&amp;TEXT(ROW()-1,"0000"))</f>
        <v/>
      </c>
      <c r="B469" s="21"/>
      <c r="C469" s="21"/>
      <c r="D469" s="21"/>
      <c r="E469" s="21"/>
      <c r="F469" s="25" t="str">
        <f aca="false">IF($E469="","",IFERROR(INDEX(Requisitions!$B$2:$B$101,MATCH($E469,Requisitions!$A$2:$A$101,0)),"Unknown Req"))</f>
        <v/>
      </c>
      <c r="G469" s="25" t="str">
        <f aca="false">IF($E469="","",IFERROR(INDEX(Requisitions!$D$2:$D$101,MATCH($E469,Requisitions!$A$2:$A$101,0)),""))</f>
        <v/>
      </c>
      <c r="H469" s="21"/>
      <c r="I469" s="21"/>
      <c r="J469" s="22"/>
      <c r="K469" s="21"/>
      <c r="L469" s="22"/>
      <c r="M469" s="25" t="str">
        <f aca="false">IF($K469="","",IFERROR(INDEX(Lists!$D$4:$D$14,MATCH($K469,Lists!$A$4:$A$14,0)),"Check stage"))</f>
        <v/>
      </c>
      <c r="N469" s="21"/>
      <c r="O469" s="21"/>
      <c r="P469" s="26"/>
      <c r="Q469" s="26"/>
      <c r="R469" s="21"/>
      <c r="S469" s="21"/>
      <c r="T469" s="22"/>
      <c r="U469" s="22"/>
      <c r="V469" s="24" t="str">
        <f aca="false">IF(OR(N($P469)=0,$Q469=""),"",$Q469/$P469-1)</f>
        <v/>
      </c>
      <c r="W469" s="25" t="str">
        <f aca="true">IF($J469="","",IF($M469="Active",TODAY(),IF($U469&lt;&gt;"",$U469,IF($L469&lt;&gt;"",$L469,TODAY())))-$J469)</f>
        <v/>
      </c>
      <c r="X469" s="25" t="str">
        <f aca="true">IF(OR($L469="",$M469&lt;&gt;"Active"),"",TODAY()-$L469)</f>
        <v/>
      </c>
      <c r="Y469" s="25" t="str">
        <f aca="false">IF($M469&lt;&gt;"Active","",INDEX(Lists!$C$4:$C$14,MATCH($K469,Lists!$A$4:$A$14,0)))</f>
        <v/>
      </c>
      <c r="Z469" s="25" t="str">
        <f aca="false">IF($B469="","",IF($M469&lt;&gt;"Active","Closed",IF($X469="","",IF($X469&gt;$Y469,"BREACH","On Track"))))</f>
        <v/>
      </c>
      <c r="AA469" s="25" t="str">
        <f aca="false">IF($K469="","",IFERROR(INDEX(Lists!$E$4:$E$14,MATCH($K469,Lists!$A$4:$A$14,0)),""))</f>
        <v/>
      </c>
      <c r="AB469" s="27" t="str">
        <f aca="false">IF($U469&lt;&gt;"",$U469,IF(OR($T469="",$M469&lt;&gt;"Active"),"",$T469+N($R469)))</f>
        <v/>
      </c>
      <c r="AC469" s="25" t="str">
        <f aca="false">IF(OR($T469="",$J469=""),"",$T469-$J469)</f>
        <v/>
      </c>
      <c r="AD469" s="25" t="str">
        <f aca="false">IF(AND($K469="Joined",$U469&lt;&gt;"",$J469&lt;&gt;""),$U469-$J469,"")</f>
        <v/>
      </c>
      <c r="AE469" s="25" t="str">
        <f aca="false">IF($K469="","",IF(OR($K469="Rejected",$K469="Withdrawn"),IFERROR(INDEX(Lists!$B$4:$B$14,MATCH($N469,Lists!$A$4:$A$14,0)),1),IFERROR(INDEX(Lists!$B$4:$B$14,MATCH($K469,Lists!$A$4:$A$14,0)),0)))</f>
        <v/>
      </c>
    </row>
    <row r="470" customFormat="false" ht="15" hidden="false" customHeight="false" outlineLevel="0" collapsed="false">
      <c r="A470" s="25" t="str">
        <f aca="false">IF($B470="","","C-"&amp;TEXT(ROW()-1,"0000"))</f>
        <v/>
      </c>
      <c r="B470" s="21"/>
      <c r="C470" s="21"/>
      <c r="D470" s="21"/>
      <c r="E470" s="21"/>
      <c r="F470" s="25" t="str">
        <f aca="false">IF($E470="","",IFERROR(INDEX(Requisitions!$B$2:$B$101,MATCH($E470,Requisitions!$A$2:$A$101,0)),"Unknown Req"))</f>
        <v/>
      </c>
      <c r="G470" s="25" t="str">
        <f aca="false">IF($E470="","",IFERROR(INDEX(Requisitions!$D$2:$D$101,MATCH($E470,Requisitions!$A$2:$A$101,0)),""))</f>
        <v/>
      </c>
      <c r="H470" s="21"/>
      <c r="I470" s="21"/>
      <c r="J470" s="22"/>
      <c r="K470" s="21"/>
      <c r="L470" s="22"/>
      <c r="M470" s="25" t="str">
        <f aca="false">IF($K470="","",IFERROR(INDEX(Lists!$D$4:$D$14,MATCH($K470,Lists!$A$4:$A$14,0)),"Check stage"))</f>
        <v/>
      </c>
      <c r="N470" s="21"/>
      <c r="O470" s="21"/>
      <c r="P470" s="26"/>
      <c r="Q470" s="26"/>
      <c r="R470" s="21"/>
      <c r="S470" s="21"/>
      <c r="T470" s="22"/>
      <c r="U470" s="22"/>
      <c r="V470" s="24" t="str">
        <f aca="false">IF(OR(N($P470)=0,$Q470=""),"",$Q470/$P470-1)</f>
        <v/>
      </c>
      <c r="W470" s="25" t="str">
        <f aca="true">IF($J470="","",IF($M470="Active",TODAY(),IF($U470&lt;&gt;"",$U470,IF($L470&lt;&gt;"",$L470,TODAY())))-$J470)</f>
        <v/>
      </c>
      <c r="X470" s="25" t="str">
        <f aca="true">IF(OR($L470="",$M470&lt;&gt;"Active"),"",TODAY()-$L470)</f>
        <v/>
      </c>
      <c r="Y470" s="25" t="str">
        <f aca="false">IF($M470&lt;&gt;"Active","",INDEX(Lists!$C$4:$C$14,MATCH($K470,Lists!$A$4:$A$14,0)))</f>
        <v/>
      </c>
      <c r="Z470" s="25" t="str">
        <f aca="false">IF($B470="","",IF($M470&lt;&gt;"Active","Closed",IF($X470="","",IF($X470&gt;$Y470,"BREACH","On Track"))))</f>
        <v/>
      </c>
      <c r="AA470" s="25" t="str">
        <f aca="false">IF($K470="","",IFERROR(INDEX(Lists!$E$4:$E$14,MATCH($K470,Lists!$A$4:$A$14,0)),""))</f>
        <v/>
      </c>
      <c r="AB470" s="27" t="str">
        <f aca="false">IF($U470&lt;&gt;"",$U470,IF(OR($T470="",$M470&lt;&gt;"Active"),"",$T470+N($R470)))</f>
        <v/>
      </c>
      <c r="AC470" s="25" t="str">
        <f aca="false">IF(OR($T470="",$J470=""),"",$T470-$J470)</f>
        <v/>
      </c>
      <c r="AD470" s="25" t="str">
        <f aca="false">IF(AND($K470="Joined",$U470&lt;&gt;"",$J470&lt;&gt;""),$U470-$J470,"")</f>
        <v/>
      </c>
      <c r="AE470" s="25" t="str">
        <f aca="false">IF($K470="","",IF(OR($K470="Rejected",$K470="Withdrawn"),IFERROR(INDEX(Lists!$B$4:$B$14,MATCH($N470,Lists!$A$4:$A$14,0)),1),IFERROR(INDEX(Lists!$B$4:$B$14,MATCH($K470,Lists!$A$4:$A$14,0)),0)))</f>
        <v/>
      </c>
    </row>
    <row r="471" customFormat="false" ht="15" hidden="false" customHeight="false" outlineLevel="0" collapsed="false">
      <c r="A471" s="25" t="str">
        <f aca="false">IF($B471="","","C-"&amp;TEXT(ROW()-1,"0000"))</f>
        <v/>
      </c>
      <c r="B471" s="21"/>
      <c r="C471" s="21"/>
      <c r="D471" s="21"/>
      <c r="E471" s="21"/>
      <c r="F471" s="25" t="str">
        <f aca="false">IF($E471="","",IFERROR(INDEX(Requisitions!$B$2:$B$101,MATCH($E471,Requisitions!$A$2:$A$101,0)),"Unknown Req"))</f>
        <v/>
      </c>
      <c r="G471" s="25" t="str">
        <f aca="false">IF($E471="","",IFERROR(INDEX(Requisitions!$D$2:$D$101,MATCH($E471,Requisitions!$A$2:$A$101,0)),""))</f>
        <v/>
      </c>
      <c r="H471" s="21"/>
      <c r="I471" s="21"/>
      <c r="J471" s="22"/>
      <c r="K471" s="21"/>
      <c r="L471" s="22"/>
      <c r="M471" s="25" t="str">
        <f aca="false">IF($K471="","",IFERROR(INDEX(Lists!$D$4:$D$14,MATCH($K471,Lists!$A$4:$A$14,0)),"Check stage"))</f>
        <v/>
      </c>
      <c r="N471" s="21"/>
      <c r="O471" s="21"/>
      <c r="P471" s="26"/>
      <c r="Q471" s="26"/>
      <c r="R471" s="21"/>
      <c r="S471" s="21"/>
      <c r="T471" s="22"/>
      <c r="U471" s="22"/>
      <c r="V471" s="24" t="str">
        <f aca="false">IF(OR(N($P471)=0,$Q471=""),"",$Q471/$P471-1)</f>
        <v/>
      </c>
      <c r="W471" s="25" t="str">
        <f aca="true">IF($J471="","",IF($M471="Active",TODAY(),IF($U471&lt;&gt;"",$U471,IF($L471&lt;&gt;"",$L471,TODAY())))-$J471)</f>
        <v/>
      </c>
      <c r="X471" s="25" t="str">
        <f aca="true">IF(OR($L471="",$M471&lt;&gt;"Active"),"",TODAY()-$L471)</f>
        <v/>
      </c>
      <c r="Y471" s="25" t="str">
        <f aca="false">IF($M471&lt;&gt;"Active","",INDEX(Lists!$C$4:$C$14,MATCH($K471,Lists!$A$4:$A$14,0)))</f>
        <v/>
      </c>
      <c r="Z471" s="25" t="str">
        <f aca="false">IF($B471="","",IF($M471&lt;&gt;"Active","Closed",IF($X471="","",IF($X471&gt;$Y471,"BREACH","On Track"))))</f>
        <v/>
      </c>
      <c r="AA471" s="25" t="str">
        <f aca="false">IF($K471="","",IFERROR(INDEX(Lists!$E$4:$E$14,MATCH($K471,Lists!$A$4:$A$14,0)),""))</f>
        <v/>
      </c>
      <c r="AB471" s="27" t="str">
        <f aca="false">IF($U471&lt;&gt;"",$U471,IF(OR($T471="",$M471&lt;&gt;"Active"),"",$T471+N($R471)))</f>
        <v/>
      </c>
      <c r="AC471" s="25" t="str">
        <f aca="false">IF(OR($T471="",$J471=""),"",$T471-$J471)</f>
        <v/>
      </c>
      <c r="AD471" s="25" t="str">
        <f aca="false">IF(AND($K471="Joined",$U471&lt;&gt;"",$J471&lt;&gt;""),$U471-$J471,"")</f>
        <v/>
      </c>
      <c r="AE471" s="25" t="str">
        <f aca="false">IF($K471="","",IF(OR($K471="Rejected",$K471="Withdrawn"),IFERROR(INDEX(Lists!$B$4:$B$14,MATCH($N471,Lists!$A$4:$A$14,0)),1),IFERROR(INDEX(Lists!$B$4:$B$14,MATCH($K471,Lists!$A$4:$A$14,0)),0)))</f>
        <v/>
      </c>
    </row>
    <row r="472" customFormat="false" ht="15" hidden="false" customHeight="false" outlineLevel="0" collapsed="false">
      <c r="A472" s="25" t="str">
        <f aca="false">IF($B472="","","C-"&amp;TEXT(ROW()-1,"0000"))</f>
        <v/>
      </c>
      <c r="B472" s="21"/>
      <c r="C472" s="21"/>
      <c r="D472" s="21"/>
      <c r="E472" s="21"/>
      <c r="F472" s="25" t="str">
        <f aca="false">IF($E472="","",IFERROR(INDEX(Requisitions!$B$2:$B$101,MATCH($E472,Requisitions!$A$2:$A$101,0)),"Unknown Req"))</f>
        <v/>
      </c>
      <c r="G472" s="25" t="str">
        <f aca="false">IF($E472="","",IFERROR(INDEX(Requisitions!$D$2:$D$101,MATCH($E472,Requisitions!$A$2:$A$101,0)),""))</f>
        <v/>
      </c>
      <c r="H472" s="21"/>
      <c r="I472" s="21"/>
      <c r="J472" s="22"/>
      <c r="K472" s="21"/>
      <c r="L472" s="22"/>
      <c r="M472" s="25" t="str">
        <f aca="false">IF($K472="","",IFERROR(INDEX(Lists!$D$4:$D$14,MATCH($K472,Lists!$A$4:$A$14,0)),"Check stage"))</f>
        <v/>
      </c>
      <c r="N472" s="21"/>
      <c r="O472" s="21"/>
      <c r="P472" s="26"/>
      <c r="Q472" s="26"/>
      <c r="R472" s="21"/>
      <c r="S472" s="21"/>
      <c r="T472" s="22"/>
      <c r="U472" s="22"/>
      <c r="V472" s="24" t="str">
        <f aca="false">IF(OR(N($P472)=0,$Q472=""),"",$Q472/$P472-1)</f>
        <v/>
      </c>
      <c r="W472" s="25" t="str">
        <f aca="true">IF($J472="","",IF($M472="Active",TODAY(),IF($U472&lt;&gt;"",$U472,IF($L472&lt;&gt;"",$L472,TODAY())))-$J472)</f>
        <v/>
      </c>
      <c r="X472" s="25" t="str">
        <f aca="true">IF(OR($L472="",$M472&lt;&gt;"Active"),"",TODAY()-$L472)</f>
        <v/>
      </c>
      <c r="Y472" s="25" t="str">
        <f aca="false">IF($M472&lt;&gt;"Active","",INDEX(Lists!$C$4:$C$14,MATCH($K472,Lists!$A$4:$A$14,0)))</f>
        <v/>
      </c>
      <c r="Z472" s="25" t="str">
        <f aca="false">IF($B472="","",IF($M472&lt;&gt;"Active","Closed",IF($X472="","",IF($X472&gt;$Y472,"BREACH","On Track"))))</f>
        <v/>
      </c>
      <c r="AA472" s="25" t="str">
        <f aca="false">IF($K472="","",IFERROR(INDEX(Lists!$E$4:$E$14,MATCH($K472,Lists!$A$4:$A$14,0)),""))</f>
        <v/>
      </c>
      <c r="AB472" s="27" t="str">
        <f aca="false">IF($U472&lt;&gt;"",$U472,IF(OR($T472="",$M472&lt;&gt;"Active"),"",$T472+N($R472)))</f>
        <v/>
      </c>
      <c r="AC472" s="25" t="str">
        <f aca="false">IF(OR($T472="",$J472=""),"",$T472-$J472)</f>
        <v/>
      </c>
      <c r="AD472" s="25" t="str">
        <f aca="false">IF(AND($K472="Joined",$U472&lt;&gt;"",$J472&lt;&gt;""),$U472-$J472,"")</f>
        <v/>
      </c>
      <c r="AE472" s="25" t="str">
        <f aca="false">IF($K472="","",IF(OR($K472="Rejected",$K472="Withdrawn"),IFERROR(INDEX(Lists!$B$4:$B$14,MATCH($N472,Lists!$A$4:$A$14,0)),1),IFERROR(INDEX(Lists!$B$4:$B$14,MATCH($K472,Lists!$A$4:$A$14,0)),0)))</f>
        <v/>
      </c>
    </row>
    <row r="473" customFormat="false" ht="15" hidden="false" customHeight="false" outlineLevel="0" collapsed="false">
      <c r="A473" s="25" t="str">
        <f aca="false">IF($B473="","","C-"&amp;TEXT(ROW()-1,"0000"))</f>
        <v/>
      </c>
      <c r="B473" s="21"/>
      <c r="C473" s="21"/>
      <c r="D473" s="21"/>
      <c r="E473" s="21"/>
      <c r="F473" s="25" t="str">
        <f aca="false">IF($E473="","",IFERROR(INDEX(Requisitions!$B$2:$B$101,MATCH($E473,Requisitions!$A$2:$A$101,0)),"Unknown Req"))</f>
        <v/>
      </c>
      <c r="G473" s="25" t="str">
        <f aca="false">IF($E473="","",IFERROR(INDEX(Requisitions!$D$2:$D$101,MATCH($E473,Requisitions!$A$2:$A$101,0)),""))</f>
        <v/>
      </c>
      <c r="H473" s="21"/>
      <c r="I473" s="21"/>
      <c r="J473" s="22"/>
      <c r="K473" s="21"/>
      <c r="L473" s="22"/>
      <c r="M473" s="25" t="str">
        <f aca="false">IF($K473="","",IFERROR(INDEX(Lists!$D$4:$D$14,MATCH($K473,Lists!$A$4:$A$14,0)),"Check stage"))</f>
        <v/>
      </c>
      <c r="N473" s="21"/>
      <c r="O473" s="21"/>
      <c r="P473" s="26"/>
      <c r="Q473" s="26"/>
      <c r="R473" s="21"/>
      <c r="S473" s="21"/>
      <c r="T473" s="22"/>
      <c r="U473" s="22"/>
      <c r="V473" s="24" t="str">
        <f aca="false">IF(OR(N($P473)=0,$Q473=""),"",$Q473/$P473-1)</f>
        <v/>
      </c>
      <c r="W473" s="25" t="str">
        <f aca="true">IF($J473="","",IF($M473="Active",TODAY(),IF($U473&lt;&gt;"",$U473,IF($L473&lt;&gt;"",$L473,TODAY())))-$J473)</f>
        <v/>
      </c>
      <c r="X473" s="25" t="str">
        <f aca="true">IF(OR($L473="",$M473&lt;&gt;"Active"),"",TODAY()-$L473)</f>
        <v/>
      </c>
      <c r="Y473" s="25" t="str">
        <f aca="false">IF($M473&lt;&gt;"Active","",INDEX(Lists!$C$4:$C$14,MATCH($K473,Lists!$A$4:$A$14,0)))</f>
        <v/>
      </c>
      <c r="Z473" s="25" t="str">
        <f aca="false">IF($B473="","",IF($M473&lt;&gt;"Active","Closed",IF($X473="","",IF($X473&gt;$Y473,"BREACH","On Track"))))</f>
        <v/>
      </c>
      <c r="AA473" s="25" t="str">
        <f aca="false">IF($K473="","",IFERROR(INDEX(Lists!$E$4:$E$14,MATCH($K473,Lists!$A$4:$A$14,0)),""))</f>
        <v/>
      </c>
      <c r="AB473" s="27" t="str">
        <f aca="false">IF($U473&lt;&gt;"",$U473,IF(OR($T473="",$M473&lt;&gt;"Active"),"",$T473+N($R473)))</f>
        <v/>
      </c>
      <c r="AC473" s="25" t="str">
        <f aca="false">IF(OR($T473="",$J473=""),"",$T473-$J473)</f>
        <v/>
      </c>
      <c r="AD473" s="25" t="str">
        <f aca="false">IF(AND($K473="Joined",$U473&lt;&gt;"",$J473&lt;&gt;""),$U473-$J473,"")</f>
        <v/>
      </c>
      <c r="AE473" s="25" t="str">
        <f aca="false">IF($K473="","",IF(OR($K473="Rejected",$K473="Withdrawn"),IFERROR(INDEX(Lists!$B$4:$B$14,MATCH($N473,Lists!$A$4:$A$14,0)),1),IFERROR(INDEX(Lists!$B$4:$B$14,MATCH($K473,Lists!$A$4:$A$14,0)),0)))</f>
        <v/>
      </c>
    </row>
    <row r="474" customFormat="false" ht="15" hidden="false" customHeight="false" outlineLevel="0" collapsed="false">
      <c r="A474" s="25" t="str">
        <f aca="false">IF($B474="","","C-"&amp;TEXT(ROW()-1,"0000"))</f>
        <v/>
      </c>
      <c r="B474" s="21"/>
      <c r="C474" s="21"/>
      <c r="D474" s="21"/>
      <c r="E474" s="21"/>
      <c r="F474" s="25" t="str">
        <f aca="false">IF($E474="","",IFERROR(INDEX(Requisitions!$B$2:$B$101,MATCH($E474,Requisitions!$A$2:$A$101,0)),"Unknown Req"))</f>
        <v/>
      </c>
      <c r="G474" s="25" t="str">
        <f aca="false">IF($E474="","",IFERROR(INDEX(Requisitions!$D$2:$D$101,MATCH($E474,Requisitions!$A$2:$A$101,0)),""))</f>
        <v/>
      </c>
      <c r="H474" s="21"/>
      <c r="I474" s="21"/>
      <c r="J474" s="22"/>
      <c r="K474" s="21"/>
      <c r="L474" s="22"/>
      <c r="M474" s="25" t="str">
        <f aca="false">IF($K474="","",IFERROR(INDEX(Lists!$D$4:$D$14,MATCH($K474,Lists!$A$4:$A$14,0)),"Check stage"))</f>
        <v/>
      </c>
      <c r="N474" s="21"/>
      <c r="O474" s="21"/>
      <c r="P474" s="26"/>
      <c r="Q474" s="26"/>
      <c r="R474" s="21"/>
      <c r="S474" s="21"/>
      <c r="T474" s="22"/>
      <c r="U474" s="22"/>
      <c r="V474" s="24" t="str">
        <f aca="false">IF(OR(N($P474)=0,$Q474=""),"",$Q474/$P474-1)</f>
        <v/>
      </c>
      <c r="W474" s="25" t="str">
        <f aca="true">IF($J474="","",IF($M474="Active",TODAY(),IF($U474&lt;&gt;"",$U474,IF($L474&lt;&gt;"",$L474,TODAY())))-$J474)</f>
        <v/>
      </c>
      <c r="X474" s="25" t="str">
        <f aca="true">IF(OR($L474="",$M474&lt;&gt;"Active"),"",TODAY()-$L474)</f>
        <v/>
      </c>
      <c r="Y474" s="25" t="str">
        <f aca="false">IF($M474&lt;&gt;"Active","",INDEX(Lists!$C$4:$C$14,MATCH($K474,Lists!$A$4:$A$14,0)))</f>
        <v/>
      </c>
      <c r="Z474" s="25" t="str">
        <f aca="false">IF($B474="","",IF($M474&lt;&gt;"Active","Closed",IF($X474="","",IF($X474&gt;$Y474,"BREACH","On Track"))))</f>
        <v/>
      </c>
      <c r="AA474" s="25" t="str">
        <f aca="false">IF($K474="","",IFERROR(INDEX(Lists!$E$4:$E$14,MATCH($K474,Lists!$A$4:$A$14,0)),""))</f>
        <v/>
      </c>
      <c r="AB474" s="27" t="str">
        <f aca="false">IF($U474&lt;&gt;"",$U474,IF(OR($T474="",$M474&lt;&gt;"Active"),"",$T474+N($R474)))</f>
        <v/>
      </c>
      <c r="AC474" s="25" t="str">
        <f aca="false">IF(OR($T474="",$J474=""),"",$T474-$J474)</f>
        <v/>
      </c>
      <c r="AD474" s="25" t="str">
        <f aca="false">IF(AND($K474="Joined",$U474&lt;&gt;"",$J474&lt;&gt;""),$U474-$J474,"")</f>
        <v/>
      </c>
      <c r="AE474" s="25" t="str">
        <f aca="false">IF($K474="","",IF(OR($K474="Rejected",$K474="Withdrawn"),IFERROR(INDEX(Lists!$B$4:$B$14,MATCH($N474,Lists!$A$4:$A$14,0)),1),IFERROR(INDEX(Lists!$B$4:$B$14,MATCH($K474,Lists!$A$4:$A$14,0)),0)))</f>
        <v/>
      </c>
    </row>
    <row r="475" customFormat="false" ht="15" hidden="false" customHeight="false" outlineLevel="0" collapsed="false">
      <c r="A475" s="25" t="str">
        <f aca="false">IF($B475="","","C-"&amp;TEXT(ROW()-1,"0000"))</f>
        <v/>
      </c>
      <c r="B475" s="21"/>
      <c r="C475" s="21"/>
      <c r="D475" s="21"/>
      <c r="E475" s="21"/>
      <c r="F475" s="25" t="str">
        <f aca="false">IF($E475="","",IFERROR(INDEX(Requisitions!$B$2:$B$101,MATCH($E475,Requisitions!$A$2:$A$101,0)),"Unknown Req"))</f>
        <v/>
      </c>
      <c r="G475" s="25" t="str">
        <f aca="false">IF($E475="","",IFERROR(INDEX(Requisitions!$D$2:$D$101,MATCH($E475,Requisitions!$A$2:$A$101,0)),""))</f>
        <v/>
      </c>
      <c r="H475" s="21"/>
      <c r="I475" s="21"/>
      <c r="J475" s="22"/>
      <c r="K475" s="21"/>
      <c r="L475" s="22"/>
      <c r="M475" s="25" t="str">
        <f aca="false">IF($K475="","",IFERROR(INDEX(Lists!$D$4:$D$14,MATCH($K475,Lists!$A$4:$A$14,0)),"Check stage"))</f>
        <v/>
      </c>
      <c r="N475" s="21"/>
      <c r="O475" s="21"/>
      <c r="P475" s="26"/>
      <c r="Q475" s="26"/>
      <c r="R475" s="21"/>
      <c r="S475" s="21"/>
      <c r="T475" s="22"/>
      <c r="U475" s="22"/>
      <c r="V475" s="24" t="str">
        <f aca="false">IF(OR(N($P475)=0,$Q475=""),"",$Q475/$P475-1)</f>
        <v/>
      </c>
      <c r="W475" s="25" t="str">
        <f aca="true">IF($J475="","",IF($M475="Active",TODAY(),IF($U475&lt;&gt;"",$U475,IF($L475&lt;&gt;"",$L475,TODAY())))-$J475)</f>
        <v/>
      </c>
      <c r="X475" s="25" t="str">
        <f aca="true">IF(OR($L475="",$M475&lt;&gt;"Active"),"",TODAY()-$L475)</f>
        <v/>
      </c>
      <c r="Y475" s="25" t="str">
        <f aca="false">IF($M475&lt;&gt;"Active","",INDEX(Lists!$C$4:$C$14,MATCH($K475,Lists!$A$4:$A$14,0)))</f>
        <v/>
      </c>
      <c r="Z475" s="25" t="str">
        <f aca="false">IF($B475="","",IF($M475&lt;&gt;"Active","Closed",IF($X475="","",IF($X475&gt;$Y475,"BREACH","On Track"))))</f>
        <v/>
      </c>
      <c r="AA475" s="25" t="str">
        <f aca="false">IF($K475="","",IFERROR(INDEX(Lists!$E$4:$E$14,MATCH($K475,Lists!$A$4:$A$14,0)),""))</f>
        <v/>
      </c>
      <c r="AB475" s="27" t="str">
        <f aca="false">IF($U475&lt;&gt;"",$U475,IF(OR($T475="",$M475&lt;&gt;"Active"),"",$T475+N($R475)))</f>
        <v/>
      </c>
      <c r="AC475" s="25" t="str">
        <f aca="false">IF(OR($T475="",$J475=""),"",$T475-$J475)</f>
        <v/>
      </c>
      <c r="AD475" s="25" t="str">
        <f aca="false">IF(AND($K475="Joined",$U475&lt;&gt;"",$J475&lt;&gt;""),$U475-$J475,"")</f>
        <v/>
      </c>
      <c r="AE475" s="25" t="str">
        <f aca="false">IF($K475="","",IF(OR($K475="Rejected",$K475="Withdrawn"),IFERROR(INDEX(Lists!$B$4:$B$14,MATCH($N475,Lists!$A$4:$A$14,0)),1),IFERROR(INDEX(Lists!$B$4:$B$14,MATCH($K475,Lists!$A$4:$A$14,0)),0)))</f>
        <v/>
      </c>
    </row>
    <row r="476" customFormat="false" ht="15" hidden="false" customHeight="false" outlineLevel="0" collapsed="false">
      <c r="A476" s="25" t="str">
        <f aca="false">IF($B476="","","C-"&amp;TEXT(ROW()-1,"0000"))</f>
        <v/>
      </c>
      <c r="B476" s="21"/>
      <c r="C476" s="21"/>
      <c r="D476" s="21"/>
      <c r="E476" s="21"/>
      <c r="F476" s="25" t="str">
        <f aca="false">IF($E476="","",IFERROR(INDEX(Requisitions!$B$2:$B$101,MATCH($E476,Requisitions!$A$2:$A$101,0)),"Unknown Req"))</f>
        <v/>
      </c>
      <c r="G476" s="25" t="str">
        <f aca="false">IF($E476="","",IFERROR(INDEX(Requisitions!$D$2:$D$101,MATCH($E476,Requisitions!$A$2:$A$101,0)),""))</f>
        <v/>
      </c>
      <c r="H476" s="21"/>
      <c r="I476" s="21"/>
      <c r="J476" s="22"/>
      <c r="K476" s="21"/>
      <c r="L476" s="22"/>
      <c r="M476" s="25" t="str">
        <f aca="false">IF($K476="","",IFERROR(INDEX(Lists!$D$4:$D$14,MATCH($K476,Lists!$A$4:$A$14,0)),"Check stage"))</f>
        <v/>
      </c>
      <c r="N476" s="21"/>
      <c r="O476" s="21"/>
      <c r="P476" s="26"/>
      <c r="Q476" s="26"/>
      <c r="R476" s="21"/>
      <c r="S476" s="21"/>
      <c r="T476" s="22"/>
      <c r="U476" s="22"/>
      <c r="V476" s="24" t="str">
        <f aca="false">IF(OR(N($P476)=0,$Q476=""),"",$Q476/$P476-1)</f>
        <v/>
      </c>
      <c r="W476" s="25" t="str">
        <f aca="true">IF($J476="","",IF($M476="Active",TODAY(),IF($U476&lt;&gt;"",$U476,IF($L476&lt;&gt;"",$L476,TODAY())))-$J476)</f>
        <v/>
      </c>
      <c r="X476" s="25" t="str">
        <f aca="true">IF(OR($L476="",$M476&lt;&gt;"Active"),"",TODAY()-$L476)</f>
        <v/>
      </c>
      <c r="Y476" s="25" t="str">
        <f aca="false">IF($M476&lt;&gt;"Active","",INDEX(Lists!$C$4:$C$14,MATCH($K476,Lists!$A$4:$A$14,0)))</f>
        <v/>
      </c>
      <c r="Z476" s="25" t="str">
        <f aca="false">IF($B476="","",IF($M476&lt;&gt;"Active","Closed",IF($X476="","",IF($X476&gt;$Y476,"BREACH","On Track"))))</f>
        <v/>
      </c>
      <c r="AA476" s="25" t="str">
        <f aca="false">IF($K476="","",IFERROR(INDEX(Lists!$E$4:$E$14,MATCH($K476,Lists!$A$4:$A$14,0)),""))</f>
        <v/>
      </c>
      <c r="AB476" s="27" t="str">
        <f aca="false">IF($U476&lt;&gt;"",$U476,IF(OR($T476="",$M476&lt;&gt;"Active"),"",$T476+N($R476)))</f>
        <v/>
      </c>
      <c r="AC476" s="25" t="str">
        <f aca="false">IF(OR($T476="",$J476=""),"",$T476-$J476)</f>
        <v/>
      </c>
      <c r="AD476" s="25" t="str">
        <f aca="false">IF(AND($K476="Joined",$U476&lt;&gt;"",$J476&lt;&gt;""),$U476-$J476,"")</f>
        <v/>
      </c>
      <c r="AE476" s="25" t="str">
        <f aca="false">IF($K476="","",IF(OR($K476="Rejected",$K476="Withdrawn"),IFERROR(INDEX(Lists!$B$4:$B$14,MATCH($N476,Lists!$A$4:$A$14,0)),1),IFERROR(INDEX(Lists!$B$4:$B$14,MATCH($K476,Lists!$A$4:$A$14,0)),0)))</f>
        <v/>
      </c>
    </row>
    <row r="477" customFormat="false" ht="15" hidden="false" customHeight="false" outlineLevel="0" collapsed="false">
      <c r="A477" s="25" t="str">
        <f aca="false">IF($B477="","","C-"&amp;TEXT(ROW()-1,"0000"))</f>
        <v/>
      </c>
      <c r="B477" s="21"/>
      <c r="C477" s="21"/>
      <c r="D477" s="21"/>
      <c r="E477" s="21"/>
      <c r="F477" s="25" t="str">
        <f aca="false">IF($E477="","",IFERROR(INDEX(Requisitions!$B$2:$B$101,MATCH($E477,Requisitions!$A$2:$A$101,0)),"Unknown Req"))</f>
        <v/>
      </c>
      <c r="G477" s="25" t="str">
        <f aca="false">IF($E477="","",IFERROR(INDEX(Requisitions!$D$2:$D$101,MATCH($E477,Requisitions!$A$2:$A$101,0)),""))</f>
        <v/>
      </c>
      <c r="H477" s="21"/>
      <c r="I477" s="21"/>
      <c r="J477" s="22"/>
      <c r="K477" s="21"/>
      <c r="L477" s="22"/>
      <c r="M477" s="25" t="str">
        <f aca="false">IF($K477="","",IFERROR(INDEX(Lists!$D$4:$D$14,MATCH($K477,Lists!$A$4:$A$14,0)),"Check stage"))</f>
        <v/>
      </c>
      <c r="N477" s="21"/>
      <c r="O477" s="21"/>
      <c r="P477" s="26"/>
      <c r="Q477" s="26"/>
      <c r="R477" s="21"/>
      <c r="S477" s="21"/>
      <c r="T477" s="22"/>
      <c r="U477" s="22"/>
      <c r="V477" s="24" t="str">
        <f aca="false">IF(OR(N($P477)=0,$Q477=""),"",$Q477/$P477-1)</f>
        <v/>
      </c>
      <c r="W477" s="25" t="str">
        <f aca="true">IF($J477="","",IF($M477="Active",TODAY(),IF($U477&lt;&gt;"",$U477,IF($L477&lt;&gt;"",$L477,TODAY())))-$J477)</f>
        <v/>
      </c>
      <c r="X477" s="25" t="str">
        <f aca="true">IF(OR($L477="",$M477&lt;&gt;"Active"),"",TODAY()-$L477)</f>
        <v/>
      </c>
      <c r="Y477" s="25" t="str">
        <f aca="false">IF($M477&lt;&gt;"Active","",INDEX(Lists!$C$4:$C$14,MATCH($K477,Lists!$A$4:$A$14,0)))</f>
        <v/>
      </c>
      <c r="Z477" s="25" t="str">
        <f aca="false">IF($B477="","",IF($M477&lt;&gt;"Active","Closed",IF($X477="","",IF($X477&gt;$Y477,"BREACH","On Track"))))</f>
        <v/>
      </c>
      <c r="AA477" s="25" t="str">
        <f aca="false">IF($K477="","",IFERROR(INDEX(Lists!$E$4:$E$14,MATCH($K477,Lists!$A$4:$A$14,0)),""))</f>
        <v/>
      </c>
      <c r="AB477" s="27" t="str">
        <f aca="false">IF($U477&lt;&gt;"",$U477,IF(OR($T477="",$M477&lt;&gt;"Active"),"",$T477+N($R477)))</f>
        <v/>
      </c>
      <c r="AC477" s="25" t="str">
        <f aca="false">IF(OR($T477="",$J477=""),"",$T477-$J477)</f>
        <v/>
      </c>
      <c r="AD477" s="25" t="str">
        <f aca="false">IF(AND($K477="Joined",$U477&lt;&gt;"",$J477&lt;&gt;""),$U477-$J477,"")</f>
        <v/>
      </c>
      <c r="AE477" s="25" t="str">
        <f aca="false">IF($K477="","",IF(OR($K477="Rejected",$K477="Withdrawn"),IFERROR(INDEX(Lists!$B$4:$B$14,MATCH($N477,Lists!$A$4:$A$14,0)),1),IFERROR(INDEX(Lists!$B$4:$B$14,MATCH($K477,Lists!$A$4:$A$14,0)),0)))</f>
        <v/>
      </c>
    </row>
    <row r="478" customFormat="false" ht="15" hidden="false" customHeight="false" outlineLevel="0" collapsed="false">
      <c r="A478" s="25" t="str">
        <f aca="false">IF($B478="","","C-"&amp;TEXT(ROW()-1,"0000"))</f>
        <v/>
      </c>
      <c r="B478" s="21"/>
      <c r="C478" s="21"/>
      <c r="D478" s="21"/>
      <c r="E478" s="21"/>
      <c r="F478" s="25" t="str">
        <f aca="false">IF($E478="","",IFERROR(INDEX(Requisitions!$B$2:$B$101,MATCH($E478,Requisitions!$A$2:$A$101,0)),"Unknown Req"))</f>
        <v/>
      </c>
      <c r="G478" s="25" t="str">
        <f aca="false">IF($E478="","",IFERROR(INDEX(Requisitions!$D$2:$D$101,MATCH($E478,Requisitions!$A$2:$A$101,0)),""))</f>
        <v/>
      </c>
      <c r="H478" s="21"/>
      <c r="I478" s="21"/>
      <c r="J478" s="22"/>
      <c r="K478" s="21"/>
      <c r="L478" s="22"/>
      <c r="M478" s="25" t="str">
        <f aca="false">IF($K478="","",IFERROR(INDEX(Lists!$D$4:$D$14,MATCH($K478,Lists!$A$4:$A$14,0)),"Check stage"))</f>
        <v/>
      </c>
      <c r="N478" s="21"/>
      <c r="O478" s="21"/>
      <c r="P478" s="26"/>
      <c r="Q478" s="26"/>
      <c r="R478" s="21"/>
      <c r="S478" s="21"/>
      <c r="T478" s="22"/>
      <c r="U478" s="22"/>
      <c r="V478" s="24" t="str">
        <f aca="false">IF(OR(N($P478)=0,$Q478=""),"",$Q478/$P478-1)</f>
        <v/>
      </c>
      <c r="W478" s="25" t="str">
        <f aca="true">IF($J478="","",IF($M478="Active",TODAY(),IF($U478&lt;&gt;"",$U478,IF($L478&lt;&gt;"",$L478,TODAY())))-$J478)</f>
        <v/>
      </c>
      <c r="X478" s="25" t="str">
        <f aca="true">IF(OR($L478="",$M478&lt;&gt;"Active"),"",TODAY()-$L478)</f>
        <v/>
      </c>
      <c r="Y478" s="25" t="str">
        <f aca="false">IF($M478&lt;&gt;"Active","",INDEX(Lists!$C$4:$C$14,MATCH($K478,Lists!$A$4:$A$14,0)))</f>
        <v/>
      </c>
      <c r="Z478" s="25" t="str">
        <f aca="false">IF($B478="","",IF($M478&lt;&gt;"Active","Closed",IF($X478="","",IF($X478&gt;$Y478,"BREACH","On Track"))))</f>
        <v/>
      </c>
      <c r="AA478" s="25" t="str">
        <f aca="false">IF($K478="","",IFERROR(INDEX(Lists!$E$4:$E$14,MATCH($K478,Lists!$A$4:$A$14,0)),""))</f>
        <v/>
      </c>
      <c r="AB478" s="27" t="str">
        <f aca="false">IF($U478&lt;&gt;"",$U478,IF(OR($T478="",$M478&lt;&gt;"Active"),"",$T478+N($R478)))</f>
        <v/>
      </c>
      <c r="AC478" s="25" t="str">
        <f aca="false">IF(OR($T478="",$J478=""),"",$T478-$J478)</f>
        <v/>
      </c>
      <c r="AD478" s="25" t="str">
        <f aca="false">IF(AND($K478="Joined",$U478&lt;&gt;"",$J478&lt;&gt;""),$U478-$J478,"")</f>
        <v/>
      </c>
      <c r="AE478" s="25" t="str">
        <f aca="false">IF($K478="","",IF(OR($K478="Rejected",$K478="Withdrawn"),IFERROR(INDEX(Lists!$B$4:$B$14,MATCH($N478,Lists!$A$4:$A$14,0)),1),IFERROR(INDEX(Lists!$B$4:$B$14,MATCH($K478,Lists!$A$4:$A$14,0)),0)))</f>
        <v/>
      </c>
    </row>
    <row r="479" customFormat="false" ht="15" hidden="false" customHeight="false" outlineLevel="0" collapsed="false">
      <c r="A479" s="25" t="str">
        <f aca="false">IF($B479="","","C-"&amp;TEXT(ROW()-1,"0000"))</f>
        <v/>
      </c>
      <c r="B479" s="21"/>
      <c r="C479" s="21"/>
      <c r="D479" s="21"/>
      <c r="E479" s="21"/>
      <c r="F479" s="25" t="str">
        <f aca="false">IF($E479="","",IFERROR(INDEX(Requisitions!$B$2:$B$101,MATCH($E479,Requisitions!$A$2:$A$101,0)),"Unknown Req"))</f>
        <v/>
      </c>
      <c r="G479" s="25" t="str">
        <f aca="false">IF($E479="","",IFERROR(INDEX(Requisitions!$D$2:$D$101,MATCH($E479,Requisitions!$A$2:$A$101,0)),""))</f>
        <v/>
      </c>
      <c r="H479" s="21"/>
      <c r="I479" s="21"/>
      <c r="J479" s="22"/>
      <c r="K479" s="21"/>
      <c r="L479" s="22"/>
      <c r="M479" s="25" t="str">
        <f aca="false">IF($K479="","",IFERROR(INDEX(Lists!$D$4:$D$14,MATCH($K479,Lists!$A$4:$A$14,0)),"Check stage"))</f>
        <v/>
      </c>
      <c r="N479" s="21"/>
      <c r="O479" s="21"/>
      <c r="P479" s="26"/>
      <c r="Q479" s="26"/>
      <c r="R479" s="21"/>
      <c r="S479" s="21"/>
      <c r="T479" s="22"/>
      <c r="U479" s="22"/>
      <c r="V479" s="24" t="str">
        <f aca="false">IF(OR(N($P479)=0,$Q479=""),"",$Q479/$P479-1)</f>
        <v/>
      </c>
      <c r="W479" s="25" t="str">
        <f aca="true">IF($J479="","",IF($M479="Active",TODAY(),IF($U479&lt;&gt;"",$U479,IF($L479&lt;&gt;"",$L479,TODAY())))-$J479)</f>
        <v/>
      </c>
      <c r="X479" s="25" t="str">
        <f aca="true">IF(OR($L479="",$M479&lt;&gt;"Active"),"",TODAY()-$L479)</f>
        <v/>
      </c>
      <c r="Y479" s="25" t="str">
        <f aca="false">IF($M479&lt;&gt;"Active","",INDEX(Lists!$C$4:$C$14,MATCH($K479,Lists!$A$4:$A$14,0)))</f>
        <v/>
      </c>
      <c r="Z479" s="25" t="str">
        <f aca="false">IF($B479="","",IF($M479&lt;&gt;"Active","Closed",IF($X479="","",IF($X479&gt;$Y479,"BREACH","On Track"))))</f>
        <v/>
      </c>
      <c r="AA479" s="25" t="str">
        <f aca="false">IF($K479="","",IFERROR(INDEX(Lists!$E$4:$E$14,MATCH($K479,Lists!$A$4:$A$14,0)),""))</f>
        <v/>
      </c>
      <c r="AB479" s="27" t="str">
        <f aca="false">IF($U479&lt;&gt;"",$U479,IF(OR($T479="",$M479&lt;&gt;"Active"),"",$T479+N($R479)))</f>
        <v/>
      </c>
      <c r="AC479" s="25" t="str">
        <f aca="false">IF(OR($T479="",$J479=""),"",$T479-$J479)</f>
        <v/>
      </c>
      <c r="AD479" s="25" t="str">
        <f aca="false">IF(AND($K479="Joined",$U479&lt;&gt;"",$J479&lt;&gt;""),$U479-$J479,"")</f>
        <v/>
      </c>
      <c r="AE479" s="25" t="str">
        <f aca="false">IF($K479="","",IF(OR($K479="Rejected",$K479="Withdrawn"),IFERROR(INDEX(Lists!$B$4:$B$14,MATCH($N479,Lists!$A$4:$A$14,0)),1),IFERROR(INDEX(Lists!$B$4:$B$14,MATCH($K479,Lists!$A$4:$A$14,0)),0)))</f>
        <v/>
      </c>
    </row>
    <row r="480" customFormat="false" ht="15" hidden="false" customHeight="false" outlineLevel="0" collapsed="false">
      <c r="A480" s="25" t="str">
        <f aca="false">IF($B480="","","C-"&amp;TEXT(ROW()-1,"0000"))</f>
        <v/>
      </c>
      <c r="B480" s="21"/>
      <c r="C480" s="21"/>
      <c r="D480" s="21"/>
      <c r="E480" s="21"/>
      <c r="F480" s="25" t="str">
        <f aca="false">IF($E480="","",IFERROR(INDEX(Requisitions!$B$2:$B$101,MATCH($E480,Requisitions!$A$2:$A$101,0)),"Unknown Req"))</f>
        <v/>
      </c>
      <c r="G480" s="25" t="str">
        <f aca="false">IF($E480="","",IFERROR(INDEX(Requisitions!$D$2:$D$101,MATCH($E480,Requisitions!$A$2:$A$101,0)),""))</f>
        <v/>
      </c>
      <c r="H480" s="21"/>
      <c r="I480" s="21"/>
      <c r="J480" s="22"/>
      <c r="K480" s="21"/>
      <c r="L480" s="22"/>
      <c r="M480" s="25" t="str">
        <f aca="false">IF($K480="","",IFERROR(INDEX(Lists!$D$4:$D$14,MATCH($K480,Lists!$A$4:$A$14,0)),"Check stage"))</f>
        <v/>
      </c>
      <c r="N480" s="21"/>
      <c r="O480" s="21"/>
      <c r="P480" s="26"/>
      <c r="Q480" s="26"/>
      <c r="R480" s="21"/>
      <c r="S480" s="21"/>
      <c r="T480" s="22"/>
      <c r="U480" s="22"/>
      <c r="V480" s="24" t="str">
        <f aca="false">IF(OR(N($P480)=0,$Q480=""),"",$Q480/$P480-1)</f>
        <v/>
      </c>
      <c r="W480" s="25" t="str">
        <f aca="true">IF($J480="","",IF($M480="Active",TODAY(),IF($U480&lt;&gt;"",$U480,IF($L480&lt;&gt;"",$L480,TODAY())))-$J480)</f>
        <v/>
      </c>
      <c r="X480" s="25" t="str">
        <f aca="true">IF(OR($L480="",$M480&lt;&gt;"Active"),"",TODAY()-$L480)</f>
        <v/>
      </c>
      <c r="Y480" s="25" t="str">
        <f aca="false">IF($M480&lt;&gt;"Active","",INDEX(Lists!$C$4:$C$14,MATCH($K480,Lists!$A$4:$A$14,0)))</f>
        <v/>
      </c>
      <c r="Z480" s="25" t="str">
        <f aca="false">IF($B480="","",IF($M480&lt;&gt;"Active","Closed",IF($X480="","",IF($X480&gt;$Y480,"BREACH","On Track"))))</f>
        <v/>
      </c>
      <c r="AA480" s="25" t="str">
        <f aca="false">IF($K480="","",IFERROR(INDEX(Lists!$E$4:$E$14,MATCH($K480,Lists!$A$4:$A$14,0)),""))</f>
        <v/>
      </c>
      <c r="AB480" s="27" t="str">
        <f aca="false">IF($U480&lt;&gt;"",$U480,IF(OR($T480="",$M480&lt;&gt;"Active"),"",$T480+N($R480)))</f>
        <v/>
      </c>
      <c r="AC480" s="25" t="str">
        <f aca="false">IF(OR($T480="",$J480=""),"",$T480-$J480)</f>
        <v/>
      </c>
      <c r="AD480" s="25" t="str">
        <f aca="false">IF(AND($K480="Joined",$U480&lt;&gt;"",$J480&lt;&gt;""),$U480-$J480,"")</f>
        <v/>
      </c>
      <c r="AE480" s="25" t="str">
        <f aca="false">IF($K480="","",IF(OR($K480="Rejected",$K480="Withdrawn"),IFERROR(INDEX(Lists!$B$4:$B$14,MATCH($N480,Lists!$A$4:$A$14,0)),1),IFERROR(INDEX(Lists!$B$4:$B$14,MATCH($K480,Lists!$A$4:$A$14,0)),0)))</f>
        <v/>
      </c>
    </row>
    <row r="481" customFormat="false" ht="15" hidden="false" customHeight="false" outlineLevel="0" collapsed="false">
      <c r="A481" s="25" t="str">
        <f aca="false">IF($B481="","","C-"&amp;TEXT(ROW()-1,"0000"))</f>
        <v/>
      </c>
      <c r="B481" s="21"/>
      <c r="C481" s="21"/>
      <c r="D481" s="21"/>
      <c r="E481" s="21"/>
      <c r="F481" s="25" t="str">
        <f aca="false">IF($E481="","",IFERROR(INDEX(Requisitions!$B$2:$B$101,MATCH($E481,Requisitions!$A$2:$A$101,0)),"Unknown Req"))</f>
        <v/>
      </c>
      <c r="G481" s="25" t="str">
        <f aca="false">IF($E481="","",IFERROR(INDEX(Requisitions!$D$2:$D$101,MATCH($E481,Requisitions!$A$2:$A$101,0)),""))</f>
        <v/>
      </c>
      <c r="H481" s="21"/>
      <c r="I481" s="21"/>
      <c r="J481" s="22"/>
      <c r="K481" s="21"/>
      <c r="L481" s="22"/>
      <c r="M481" s="25" t="str">
        <f aca="false">IF($K481="","",IFERROR(INDEX(Lists!$D$4:$D$14,MATCH($K481,Lists!$A$4:$A$14,0)),"Check stage"))</f>
        <v/>
      </c>
      <c r="N481" s="21"/>
      <c r="O481" s="21"/>
      <c r="P481" s="26"/>
      <c r="Q481" s="26"/>
      <c r="R481" s="21"/>
      <c r="S481" s="21"/>
      <c r="T481" s="22"/>
      <c r="U481" s="22"/>
      <c r="V481" s="24" t="str">
        <f aca="false">IF(OR(N($P481)=0,$Q481=""),"",$Q481/$P481-1)</f>
        <v/>
      </c>
      <c r="W481" s="25" t="str">
        <f aca="true">IF($J481="","",IF($M481="Active",TODAY(),IF($U481&lt;&gt;"",$U481,IF($L481&lt;&gt;"",$L481,TODAY())))-$J481)</f>
        <v/>
      </c>
      <c r="X481" s="25" t="str">
        <f aca="true">IF(OR($L481="",$M481&lt;&gt;"Active"),"",TODAY()-$L481)</f>
        <v/>
      </c>
      <c r="Y481" s="25" t="str">
        <f aca="false">IF($M481&lt;&gt;"Active","",INDEX(Lists!$C$4:$C$14,MATCH($K481,Lists!$A$4:$A$14,0)))</f>
        <v/>
      </c>
      <c r="Z481" s="25" t="str">
        <f aca="false">IF($B481="","",IF($M481&lt;&gt;"Active","Closed",IF($X481="","",IF($X481&gt;$Y481,"BREACH","On Track"))))</f>
        <v/>
      </c>
      <c r="AA481" s="25" t="str">
        <f aca="false">IF($K481="","",IFERROR(INDEX(Lists!$E$4:$E$14,MATCH($K481,Lists!$A$4:$A$14,0)),""))</f>
        <v/>
      </c>
      <c r="AB481" s="27" t="str">
        <f aca="false">IF($U481&lt;&gt;"",$U481,IF(OR($T481="",$M481&lt;&gt;"Active"),"",$T481+N($R481)))</f>
        <v/>
      </c>
      <c r="AC481" s="25" t="str">
        <f aca="false">IF(OR($T481="",$J481=""),"",$T481-$J481)</f>
        <v/>
      </c>
      <c r="AD481" s="25" t="str">
        <f aca="false">IF(AND($K481="Joined",$U481&lt;&gt;"",$J481&lt;&gt;""),$U481-$J481,"")</f>
        <v/>
      </c>
      <c r="AE481" s="25" t="str">
        <f aca="false">IF($K481="","",IF(OR($K481="Rejected",$K481="Withdrawn"),IFERROR(INDEX(Lists!$B$4:$B$14,MATCH($N481,Lists!$A$4:$A$14,0)),1),IFERROR(INDEX(Lists!$B$4:$B$14,MATCH($K481,Lists!$A$4:$A$14,0)),0)))</f>
        <v/>
      </c>
    </row>
    <row r="482" customFormat="false" ht="15" hidden="false" customHeight="false" outlineLevel="0" collapsed="false">
      <c r="A482" s="25" t="str">
        <f aca="false">IF($B482="","","C-"&amp;TEXT(ROW()-1,"0000"))</f>
        <v/>
      </c>
      <c r="B482" s="21"/>
      <c r="C482" s="21"/>
      <c r="D482" s="21"/>
      <c r="E482" s="21"/>
      <c r="F482" s="25" t="str">
        <f aca="false">IF($E482="","",IFERROR(INDEX(Requisitions!$B$2:$B$101,MATCH($E482,Requisitions!$A$2:$A$101,0)),"Unknown Req"))</f>
        <v/>
      </c>
      <c r="G482" s="25" t="str">
        <f aca="false">IF($E482="","",IFERROR(INDEX(Requisitions!$D$2:$D$101,MATCH($E482,Requisitions!$A$2:$A$101,0)),""))</f>
        <v/>
      </c>
      <c r="H482" s="21"/>
      <c r="I482" s="21"/>
      <c r="J482" s="22"/>
      <c r="K482" s="21"/>
      <c r="L482" s="22"/>
      <c r="M482" s="25" t="str">
        <f aca="false">IF($K482="","",IFERROR(INDEX(Lists!$D$4:$D$14,MATCH($K482,Lists!$A$4:$A$14,0)),"Check stage"))</f>
        <v/>
      </c>
      <c r="N482" s="21"/>
      <c r="O482" s="21"/>
      <c r="P482" s="26"/>
      <c r="Q482" s="26"/>
      <c r="R482" s="21"/>
      <c r="S482" s="21"/>
      <c r="T482" s="22"/>
      <c r="U482" s="22"/>
      <c r="V482" s="24" t="str">
        <f aca="false">IF(OR(N($P482)=0,$Q482=""),"",$Q482/$P482-1)</f>
        <v/>
      </c>
      <c r="W482" s="25" t="str">
        <f aca="true">IF($J482="","",IF($M482="Active",TODAY(),IF($U482&lt;&gt;"",$U482,IF($L482&lt;&gt;"",$L482,TODAY())))-$J482)</f>
        <v/>
      </c>
      <c r="X482" s="25" t="str">
        <f aca="true">IF(OR($L482="",$M482&lt;&gt;"Active"),"",TODAY()-$L482)</f>
        <v/>
      </c>
      <c r="Y482" s="25" t="str">
        <f aca="false">IF($M482&lt;&gt;"Active","",INDEX(Lists!$C$4:$C$14,MATCH($K482,Lists!$A$4:$A$14,0)))</f>
        <v/>
      </c>
      <c r="Z482" s="25" t="str">
        <f aca="false">IF($B482="","",IF($M482&lt;&gt;"Active","Closed",IF($X482="","",IF($X482&gt;$Y482,"BREACH","On Track"))))</f>
        <v/>
      </c>
      <c r="AA482" s="25" t="str">
        <f aca="false">IF($K482="","",IFERROR(INDEX(Lists!$E$4:$E$14,MATCH($K482,Lists!$A$4:$A$14,0)),""))</f>
        <v/>
      </c>
      <c r="AB482" s="27" t="str">
        <f aca="false">IF($U482&lt;&gt;"",$U482,IF(OR($T482="",$M482&lt;&gt;"Active"),"",$T482+N($R482)))</f>
        <v/>
      </c>
      <c r="AC482" s="25" t="str">
        <f aca="false">IF(OR($T482="",$J482=""),"",$T482-$J482)</f>
        <v/>
      </c>
      <c r="AD482" s="25" t="str">
        <f aca="false">IF(AND($K482="Joined",$U482&lt;&gt;"",$J482&lt;&gt;""),$U482-$J482,"")</f>
        <v/>
      </c>
      <c r="AE482" s="25" t="str">
        <f aca="false">IF($K482="","",IF(OR($K482="Rejected",$K482="Withdrawn"),IFERROR(INDEX(Lists!$B$4:$B$14,MATCH($N482,Lists!$A$4:$A$14,0)),1),IFERROR(INDEX(Lists!$B$4:$B$14,MATCH($K482,Lists!$A$4:$A$14,0)),0)))</f>
        <v/>
      </c>
    </row>
    <row r="483" customFormat="false" ht="15" hidden="false" customHeight="false" outlineLevel="0" collapsed="false">
      <c r="A483" s="25" t="str">
        <f aca="false">IF($B483="","","C-"&amp;TEXT(ROW()-1,"0000"))</f>
        <v/>
      </c>
      <c r="B483" s="21"/>
      <c r="C483" s="21"/>
      <c r="D483" s="21"/>
      <c r="E483" s="21"/>
      <c r="F483" s="25" t="str">
        <f aca="false">IF($E483="","",IFERROR(INDEX(Requisitions!$B$2:$B$101,MATCH($E483,Requisitions!$A$2:$A$101,0)),"Unknown Req"))</f>
        <v/>
      </c>
      <c r="G483" s="25" t="str">
        <f aca="false">IF($E483="","",IFERROR(INDEX(Requisitions!$D$2:$D$101,MATCH($E483,Requisitions!$A$2:$A$101,0)),""))</f>
        <v/>
      </c>
      <c r="H483" s="21"/>
      <c r="I483" s="21"/>
      <c r="J483" s="22"/>
      <c r="K483" s="21"/>
      <c r="L483" s="22"/>
      <c r="M483" s="25" t="str">
        <f aca="false">IF($K483="","",IFERROR(INDEX(Lists!$D$4:$D$14,MATCH($K483,Lists!$A$4:$A$14,0)),"Check stage"))</f>
        <v/>
      </c>
      <c r="N483" s="21"/>
      <c r="O483" s="21"/>
      <c r="P483" s="26"/>
      <c r="Q483" s="26"/>
      <c r="R483" s="21"/>
      <c r="S483" s="21"/>
      <c r="T483" s="22"/>
      <c r="U483" s="22"/>
      <c r="V483" s="24" t="str">
        <f aca="false">IF(OR(N($P483)=0,$Q483=""),"",$Q483/$P483-1)</f>
        <v/>
      </c>
      <c r="W483" s="25" t="str">
        <f aca="true">IF($J483="","",IF($M483="Active",TODAY(),IF($U483&lt;&gt;"",$U483,IF($L483&lt;&gt;"",$L483,TODAY())))-$J483)</f>
        <v/>
      </c>
      <c r="X483" s="25" t="str">
        <f aca="true">IF(OR($L483="",$M483&lt;&gt;"Active"),"",TODAY()-$L483)</f>
        <v/>
      </c>
      <c r="Y483" s="25" t="str">
        <f aca="false">IF($M483&lt;&gt;"Active","",INDEX(Lists!$C$4:$C$14,MATCH($K483,Lists!$A$4:$A$14,0)))</f>
        <v/>
      </c>
      <c r="Z483" s="25" t="str">
        <f aca="false">IF($B483="","",IF($M483&lt;&gt;"Active","Closed",IF($X483="","",IF($X483&gt;$Y483,"BREACH","On Track"))))</f>
        <v/>
      </c>
      <c r="AA483" s="25" t="str">
        <f aca="false">IF($K483="","",IFERROR(INDEX(Lists!$E$4:$E$14,MATCH($K483,Lists!$A$4:$A$14,0)),""))</f>
        <v/>
      </c>
      <c r="AB483" s="27" t="str">
        <f aca="false">IF($U483&lt;&gt;"",$U483,IF(OR($T483="",$M483&lt;&gt;"Active"),"",$T483+N($R483)))</f>
        <v/>
      </c>
      <c r="AC483" s="25" t="str">
        <f aca="false">IF(OR($T483="",$J483=""),"",$T483-$J483)</f>
        <v/>
      </c>
      <c r="AD483" s="25" t="str">
        <f aca="false">IF(AND($K483="Joined",$U483&lt;&gt;"",$J483&lt;&gt;""),$U483-$J483,"")</f>
        <v/>
      </c>
      <c r="AE483" s="25" t="str">
        <f aca="false">IF($K483="","",IF(OR($K483="Rejected",$K483="Withdrawn"),IFERROR(INDEX(Lists!$B$4:$B$14,MATCH($N483,Lists!$A$4:$A$14,0)),1),IFERROR(INDEX(Lists!$B$4:$B$14,MATCH($K483,Lists!$A$4:$A$14,0)),0)))</f>
        <v/>
      </c>
    </row>
    <row r="484" customFormat="false" ht="15" hidden="false" customHeight="false" outlineLevel="0" collapsed="false">
      <c r="A484" s="25" t="str">
        <f aca="false">IF($B484="","","C-"&amp;TEXT(ROW()-1,"0000"))</f>
        <v/>
      </c>
      <c r="B484" s="21"/>
      <c r="C484" s="21"/>
      <c r="D484" s="21"/>
      <c r="E484" s="21"/>
      <c r="F484" s="25" t="str">
        <f aca="false">IF($E484="","",IFERROR(INDEX(Requisitions!$B$2:$B$101,MATCH($E484,Requisitions!$A$2:$A$101,0)),"Unknown Req"))</f>
        <v/>
      </c>
      <c r="G484" s="25" t="str">
        <f aca="false">IF($E484="","",IFERROR(INDEX(Requisitions!$D$2:$D$101,MATCH($E484,Requisitions!$A$2:$A$101,0)),""))</f>
        <v/>
      </c>
      <c r="H484" s="21"/>
      <c r="I484" s="21"/>
      <c r="J484" s="22"/>
      <c r="K484" s="21"/>
      <c r="L484" s="22"/>
      <c r="M484" s="25" t="str">
        <f aca="false">IF($K484="","",IFERROR(INDEX(Lists!$D$4:$D$14,MATCH($K484,Lists!$A$4:$A$14,0)),"Check stage"))</f>
        <v/>
      </c>
      <c r="N484" s="21"/>
      <c r="O484" s="21"/>
      <c r="P484" s="26"/>
      <c r="Q484" s="26"/>
      <c r="R484" s="21"/>
      <c r="S484" s="21"/>
      <c r="T484" s="22"/>
      <c r="U484" s="22"/>
      <c r="V484" s="24" t="str">
        <f aca="false">IF(OR(N($P484)=0,$Q484=""),"",$Q484/$P484-1)</f>
        <v/>
      </c>
      <c r="W484" s="25" t="str">
        <f aca="true">IF($J484="","",IF($M484="Active",TODAY(),IF($U484&lt;&gt;"",$U484,IF($L484&lt;&gt;"",$L484,TODAY())))-$J484)</f>
        <v/>
      </c>
      <c r="X484" s="25" t="str">
        <f aca="true">IF(OR($L484="",$M484&lt;&gt;"Active"),"",TODAY()-$L484)</f>
        <v/>
      </c>
      <c r="Y484" s="25" t="str">
        <f aca="false">IF($M484&lt;&gt;"Active","",INDEX(Lists!$C$4:$C$14,MATCH($K484,Lists!$A$4:$A$14,0)))</f>
        <v/>
      </c>
      <c r="Z484" s="25" t="str">
        <f aca="false">IF($B484="","",IF($M484&lt;&gt;"Active","Closed",IF($X484="","",IF($X484&gt;$Y484,"BREACH","On Track"))))</f>
        <v/>
      </c>
      <c r="AA484" s="25" t="str">
        <f aca="false">IF($K484="","",IFERROR(INDEX(Lists!$E$4:$E$14,MATCH($K484,Lists!$A$4:$A$14,0)),""))</f>
        <v/>
      </c>
      <c r="AB484" s="27" t="str">
        <f aca="false">IF($U484&lt;&gt;"",$U484,IF(OR($T484="",$M484&lt;&gt;"Active"),"",$T484+N($R484)))</f>
        <v/>
      </c>
      <c r="AC484" s="25" t="str">
        <f aca="false">IF(OR($T484="",$J484=""),"",$T484-$J484)</f>
        <v/>
      </c>
      <c r="AD484" s="25" t="str">
        <f aca="false">IF(AND($K484="Joined",$U484&lt;&gt;"",$J484&lt;&gt;""),$U484-$J484,"")</f>
        <v/>
      </c>
      <c r="AE484" s="25" t="str">
        <f aca="false">IF($K484="","",IF(OR($K484="Rejected",$K484="Withdrawn"),IFERROR(INDEX(Lists!$B$4:$B$14,MATCH($N484,Lists!$A$4:$A$14,0)),1),IFERROR(INDEX(Lists!$B$4:$B$14,MATCH($K484,Lists!$A$4:$A$14,0)),0)))</f>
        <v/>
      </c>
    </row>
    <row r="485" customFormat="false" ht="15" hidden="false" customHeight="false" outlineLevel="0" collapsed="false">
      <c r="A485" s="25" t="str">
        <f aca="false">IF($B485="","","C-"&amp;TEXT(ROW()-1,"0000"))</f>
        <v/>
      </c>
      <c r="B485" s="21"/>
      <c r="C485" s="21"/>
      <c r="D485" s="21"/>
      <c r="E485" s="21"/>
      <c r="F485" s="25" t="str">
        <f aca="false">IF($E485="","",IFERROR(INDEX(Requisitions!$B$2:$B$101,MATCH($E485,Requisitions!$A$2:$A$101,0)),"Unknown Req"))</f>
        <v/>
      </c>
      <c r="G485" s="25" t="str">
        <f aca="false">IF($E485="","",IFERROR(INDEX(Requisitions!$D$2:$D$101,MATCH($E485,Requisitions!$A$2:$A$101,0)),""))</f>
        <v/>
      </c>
      <c r="H485" s="21"/>
      <c r="I485" s="21"/>
      <c r="J485" s="22"/>
      <c r="K485" s="21"/>
      <c r="L485" s="22"/>
      <c r="M485" s="25" t="str">
        <f aca="false">IF($K485="","",IFERROR(INDEX(Lists!$D$4:$D$14,MATCH($K485,Lists!$A$4:$A$14,0)),"Check stage"))</f>
        <v/>
      </c>
      <c r="N485" s="21"/>
      <c r="O485" s="21"/>
      <c r="P485" s="26"/>
      <c r="Q485" s="26"/>
      <c r="R485" s="21"/>
      <c r="S485" s="21"/>
      <c r="T485" s="22"/>
      <c r="U485" s="22"/>
      <c r="V485" s="24" t="str">
        <f aca="false">IF(OR(N($P485)=0,$Q485=""),"",$Q485/$P485-1)</f>
        <v/>
      </c>
      <c r="W485" s="25" t="str">
        <f aca="true">IF($J485="","",IF($M485="Active",TODAY(),IF($U485&lt;&gt;"",$U485,IF($L485&lt;&gt;"",$L485,TODAY())))-$J485)</f>
        <v/>
      </c>
      <c r="X485" s="25" t="str">
        <f aca="true">IF(OR($L485="",$M485&lt;&gt;"Active"),"",TODAY()-$L485)</f>
        <v/>
      </c>
      <c r="Y485" s="25" t="str">
        <f aca="false">IF($M485&lt;&gt;"Active","",INDEX(Lists!$C$4:$C$14,MATCH($K485,Lists!$A$4:$A$14,0)))</f>
        <v/>
      </c>
      <c r="Z485" s="25" t="str">
        <f aca="false">IF($B485="","",IF($M485&lt;&gt;"Active","Closed",IF($X485="","",IF($X485&gt;$Y485,"BREACH","On Track"))))</f>
        <v/>
      </c>
      <c r="AA485" s="25" t="str">
        <f aca="false">IF($K485="","",IFERROR(INDEX(Lists!$E$4:$E$14,MATCH($K485,Lists!$A$4:$A$14,0)),""))</f>
        <v/>
      </c>
      <c r="AB485" s="27" t="str">
        <f aca="false">IF($U485&lt;&gt;"",$U485,IF(OR($T485="",$M485&lt;&gt;"Active"),"",$T485+N($R485)))</f>
        <v/>
      </c>
      <c r="AC485" s="25" t="str">
        <f aca="false">IF(OR($T485="",$J485=""),"",$T485-$J485)</f>
        <v/>
      </c>
      <c r="AD485" s="25" t="str">
        <f aca="false">IF(AND($K485="Joined",$U485&lt;&gt;"",$J485&lt;&gt;""),$U485-$J485,"")</f>
        <v/>
      </c>
      <c r="AE485" s="25" t="str">
        <f aca="false">IF($K485="","",IF(OR($K485="Rejected",$K485="Withdrawn"),IFERROR(INDEX(Lists!$B$4:$B$14,MATCH($N485,Lists!$A$4:$A$14,0)),1),IFERROR(INDEX(Lists!$B$4:$B$14,MATCH($K485,Lists!$A$4:$A$14,0)),0)))</f>
        <v/>
      </c>
    </row>
    <row r="486" customFormat="false" ht="15" hidden="false" customHeight="false" outlineLevel="0" collapsed="false">
      <c r="A486" s="25" t="str">
        <f aca="false">IF($B486="","","C-"&amp;TEXT(ROW()-1,"0000"))</f>
        <v/>
      </c>
      <c r="B486" s="21"/>
      <c r="C486" s="21"/>
      <c r="D486" s="21"/>
      <c r="E486" s="21"/>
      <c r="F486" s="25" t="str">
        <f aca="false">IF($E486="","",IFERROR(INDEX(Requisitions!$B$2:$B$101,MATCH($E486,Requisitions!$A$2:$A$101,0)),"Unknown Req"))</f>
        <v/>
      </c>
      <c r="G486" s="25" t="str">
        <f aca="false">IF($E486="","",IFERROR(INDEX(Requisitions!$D$2:$D$101,MATCH($E486,Requisitions!$A$2:$A$101,0)),""))</f>
        <v/>
      </c>
      <c r="H486" s="21"/>
      <c r="I486" s="21"/>
      <c r="J486" s="22"/>
      <c r="K486" s="21"/>
      <c r="L486" s="22"/>
      <c r="M486" s="25" t="str">
        <f aca="false">IF($K486="","",IFERROR(INDEX(Lists!$D$4:$D$14,MATCH($K486,Lists!$A$4:$A$14,0)),"Check stage"))</f>
        <v/>
      </c>
      <c r="N486" s="21"/>
      <c r="O486" s="21"/>
      <c r="P486" s="26"/>
      <c r="Q486" s="26"/>
      <c r="R486" s="21"/>
      <c r="S486" s="21"/>
      <c r="T486" s="22"/>
      <c r="U486" s="22"/>
      <c r="V486" s="24" t="str">
        <f aca="false">IF(OR(N($P486)=0,$Q486=""),"",$Q486/$P486-1)</f>
        <v/>
      </c>
      <c r="W486" s="25" t="str">
        <f aca="true">IF($J486="","",IF($M486="Active",TODAY(),IF($U486&lt;&gt;"",$U486,IF($L486&lt;&gt;"",$L486,TODAY())))-$J486)</f>
        <v/>
      </c>
      <c r="X486" s="25" t="str">
        <f aca="true">IF(OR($L486="",$M486&lt;&gt;"Active"),"",TODAY()-$L486)</f>
        <v/>
      </c>
      <c r="Y486" s="25" t="str">
        <f aca="false">IF($M486&lt;&gt;"Active","",INDEX(Lists!$C$4:$C$14,MATCH($K486,Lists!$A$4:$A$14,0)))</f>
        <v/>
      </c>
      <c r="Z486" s="25" t="str">
        <f aca="false">IF($B486="","",IF($M486&lt;&gt;"Active","Closed",IF($X486="","",IF($X486&gt;$Y486,"BREACH","On Track"))))</f>
        <v/>
      </c>
      <c r="AA486" s="25" t="str">
        <f aca="false">IF($K486="","",IFERROR(INDEX(Lists!$E$4:$E$14,MATCH($K486,Lists!$A$4:$A$14,0)),""))</f>
        <v/>
      </c>
      <c r="AB486" s="27" t="str">
        <f aca="false">IF($U486&lt;&gt;"",$U486,IF(OR($T486="",$M486&lt;&gt;"Active"),"",$T486+N($R486)))</f>
        <v/>
      </c>
      <c r="AC486" s="25" t="str">
        <f aca="false">IF(OR($T486="",$J486=""),"",$T486-$J486)</f>
        <v/>
      </c>
      <c r="AD486" s="25" t="str">
        <f aca="false">IF(AND($K486="Joined",$U486&lt;&gt;"",$J486&lt;&gt;""),$U486-$J486,"")</f>
        <v/>
      </c>
      <c r="AE486" s="25" t="str">
        <f aca="false">IF($K486="","",IF(OR($K486="Rejected",$K486="Withdrawn"),IFERROR(INDEX(Lists!$B$4:$B$14,MATCH($N486,Lists!$A$4:$A$14,0)),1),IFERROR(INDEX(Lists!$B$4:$B$14,MATCH($K486,Lists!$A$4:$A$14,0)),0)))</f>
        <v/>
      </c>
    </row>
    <row r="487" customFormat="false" ht="15" hidden="false" customHeight="false" outlineLevel="0" collapsed="false">
      <c r="A487" s="25" t="str">
        <f aca="false">IF($B487="","","C-"&amp;TEXT(ROW()-1,"0000"))</f>
        <v/>
      </c>
      <c r="B487" s="21"/>
      <c r="C487" s="21"/>
      <c r="D487" s="21"/>
      <c r="E487" s="21"/>
      <c r="F487" s="25" t="str">
        <f aca="false">IF($E487="","",IFERROR(INDEX(Requisitions!$B$2:$B$101,MATCH($E487,Requisitions!$A$2:$A$101,0)),"Unknown Req"))</f>
        <v/>
      </c>
      <c r="G487" s="25" t="str">
        <f aca="false">IF($E487="","",IFERROR(INDEX(Requisitions!$D$2:$D$101,MATCH($E487,Requisitions!$A$2:$A$101,0)),""))</f>
        <v/>
      </c>
      <c r="H487" s="21"/>
      <c r="I487" s="21"/>
      <c r="J487" s="22"/>
      <c r="K487" s="21"/>
      <c r="L487" s="22"/>
      <c r="M487" s="25" t="str">
        <f aca="false">IF($K487="","",IFERROR(INDEX(Lists!$D$4:$D$14,MATCH($K487,Lists!$A$4:$A$14,0)),"Check stage"))</f>
        <v/>
      </c>
      <c r="N487" s="21"/>
      <c r="O487" s="21"/>
      <c r="P487" s="26"/>
      <c r="Q487" s="26"/>
      <c r="R487" s="21"/>
      <c r="S487" s="21"/>
      <c r="T487" s="22"/>
      <c r="U487" s="22"/>
      <c r="V487" s="24" t="str">
        <f aca="false">IF(OR(N($P487)=0,$Q487=""),"",$Q487/$P487-1)</f>
        <v/>
      </c>
      <c r="W487" s="25" t="str">
        <f aca="true">IF($J487="","",IF($M487="Active",TODAY(),IF($U487&lt;&gt;"",$U487,IF($L487&lt;&gt;"",$L487,TODAY())))-$J487)</f>
        <v/>
      </c>
      <c r="X487" s="25" t="str">
        <f aca="true">IF(OR($L487="",$M487&lt;&gt;"Active"),"",TODAY()-$L487)</f>
        <v/>
      </c>
      <c r="Y487" s="25" t="str">
        <f aca="false">IF($M487&lt;&gt;"Active","",INDEX(Lists!$C$4:$C$14,MATCH($K487,Lists!$A$4:$A$14,0)))</f>
        <v/>
      </c>
      <c r="Z487" s="25" t="str">
        <f aca="false">IF($B487="","",IF($M487&lt;&gt;"Active","Closed",IF($X487="","",IF($X487&gt;$Y487,"BREACH","On Track"))))</f>
        <v/>
      </c>
      <c r="AA487" s="25" t="str">
        <f aca="false">IF($K487="","",IFERROR(INDEX(Lists!$E$4:$E$14,MATCH($K487,Lists!$A$4:$A$14,0)),""))</f>
        <v/>
      </c>
      <c r="AB487" s="27" t="str">
        <f aca="false">IF($U487&lt;&gt;"",$U487,IF(OR($T487="",$M487&lt;&gt;"Active"),"",$T487+N($R487)))</f>
        <v/>
      </c>
      <c r="AC487" s="25" t="str">
        <f aca="false">IF(OR($T487="",$J487=""),"",$T487-$J487)</f>
        <v/>
      </c>
      <c r="AD487" s="25" t="str">
        <f aca="false">IF(AND($K487="Joined",$U487&lt;&gt;"",$J487&lt;&gt;""),$U487-$J487,"")</f>
        <v/>
      </c>
      <c r="AE487" s="25" t="str">
        <f aca="false">IF($K487="","",IF(OR($K487="Rejected",$K487="Withdrawn"),IFERROR(INDEX(Lists!$B$4:$B$14,MATCH($N487,Lists!$A$4:$A$14,0)),1),IFERROR(INDEX(Lists!$B$4:$B$14,MATCH($K487,Lists!$A$4:$A$14,0)),0)))</f>
        <v/>
      </c>
    </row>
    <row r="488" customFormat="false" ht="15" hidden="false" customHeight="false" outlineLevel="0" collapsed="false">
      <c r="A488" s="25" t="str">
        <f aca="false">IF($B488="","","C-"&amp;TEXT(ROW()-1,"0000"))</f>
        <v/>
      </c>
      <c r="B488" s="21"/>
      <c r="C488" s="21"/>
      <c r="D488" s="21"/>
      <c r="E488" s="21"/>
      <c r="F488" s="25" t="str">
        <f aca="false">IF($E488="","",IFERROR(INDEX(Requisitions!$B$2:$B$101,MATCH($E488,Requisitions!$A$2:$A$101,0)),"Unknown Req"))</f>
        <v/>
      </c>
      <c r="G488" s="25" t="str">
        <f aca="false">IF($E488="","",IFERROR(INDEX(Requisitions!$D$2:$D$101,MATCH($E488,Requisitions!$A$2:$A$101,0)),""))</f>
        <v/>
      </c>
      <c r="H488" s="21"/>
      <c r="I488" s="21"/>
      <c r="J488" s="22"/>
      <c r="K488" s="21"/>
      <c r="L488" s="22"/>
      <c r="M488" s="25" t="str">
        <f aca="false">IF($K488="","",IFERROR(INDEX(Lists!$D$4:$D$14,MATCH($K488,Lists!$A$4:$A$14,0)),"Check stage"))</f>
        <v/>
      </c>
      <c r="N488" s="21"/>
      <c r="O488" s="21"/>
      <c r="P488" s="26"/>
      <c r="Q488" s="26"/>
      <c r="R488" s="21"/>
      <c r="S488" s="21"/>
      <c r="T488" s="22"/>
      <c r="U488" s="22"/>
      <c r="V488" s="24" t="str">
        <f aca="false">IF(OR(N($P488)=0,$Q488=""),"",$Q488/$P488-1)</f>
        <v/>
      </c>
      <c r="W488" s="25" t="str">
        <f aca="true">IF($J488="","",IF($M488="Active",TODAY(),IF($U488&lt;&gt;"",$U488,IF($L488&lt;&gt;"",$L488,TODAY())))-$J488)</f>
        <v/>
      </c>
      <c r="X488" s="25" t="str">
        <f aca="true">IF(OR($L488="",$M488&lt;&gt;"Active"),"",TODAY()-$L488)</f>
        <v/>
      </c>
      <c r="Y488" s="25" t="str">
        <f aca="false">IF($M488&lt;&gt;"Active","",INDEX(Lists!$C$4:$C$14,MATCH($K488,Lists!$A$4:$A$14,0)))</f>
        <v/>
      </c>
      <c r="Z488" s="25" t="str">
        <f aca="false">IF($B488="","",IF($M488&lt;&gt;"Active","Closed",IF($X488="","",IF($X488&gt;$Y488,"BREACH","On Track"))))</f>
        <v/>
      </c>
      <c r="AA488" s="25" t="str">
        <f aca="false">IF($K488="","",IFERROR(INDEX(Lists!$E$4:$E$14,MATCH($K488,Lists!$A$4:$A$14,0)),""))</f>
        <v/>
      </c>
      <c r="AB488" s="27" t="str">
        <f aca="false">IF($U488&lt;&gt;"",$U488,IF(OR($T488="",$M488&lt;&gt;"Active"),"",$T488+N($R488)))</f>
        <v/>
      </c>
      <c r="AC488" s="25" t="str">
        <f aca="false">IF(OR($T488="",$J488=""),"",$T488-$J488)</f>
        <v/>
      </c>
      <c r="AD488" s="25" t="str">
        <f aca="false">IF(AND($K488="Joined",$U488&lt;&gt;"",$J488&lt;&gt;""),$U488-$J488,"")</f>
        <v/>
      </c>
      <c r="AE488" s="25" t="str">
        <f aca="false">IF($K488="","",IF(OR($K488="Rejected",$K488="Withdrawn"),IFERROR(INDEX(Lists!$B$4:$B$14,MATCH($N488,Lists!$A$4:$A$14,0)),1),IFERROR(INDEX(Lists!$B$4:$B$14,MATCH($K488,Lists!$A$4:$A$14,0)),0)))</f>
        <v/>
      </c>
    </row>
    <row r="489" customFormat="false" ht="15" hidden="false" customHeight="false" outlineLevel="0" collapsed="false">
      <c r="A489" s="25" t="str">
        <f aca="false">IF($B489="","","C-"&amp;TEXT(ROW()-1,"0000"))</f>
        <v/>
      </c>
      <c r="B489" s="21"/>
      <c r="C489" s="21"/>
      <c r="D489" s="21"/>
      <c r="E489" s="21"/>
      <c r="F489" s="25" t="str">
        <f aca="false">IF($E489="","",IFERROR(INDEX(Requisitions!$B$2:$B$101,MATCH($E489,Requisitions!$A$2:$A$101,0)),"Unknown Req"))</f>
        <v/>
      </c>
      <c r="G489" s="25" t="str">
        <f aca="false">IF($E489="","",IFERROR(INDEX(Requisitions!$D$2:$D$101,MATCH($E489,Requisitions!$A$2:$A$101,0)),""))</f>
        <v/>
      </c>
      <c r="H489" s="21"/>
      <c r="I489" s="21"/>
      <c r="J489" s="22"/>
      <c r="K489" s="21"/>
      <c r="L489" s="22"/>
      <c r="M489" s="25" t="str">
        <f aca="false">IF($K489="","",IFERROR(INDEX(Lists!$D$4:$D$14,MATCH($K489,Lists!$A$4:$A$14,0)),"Check stage"))</f>
        <v/>
      </c>
      <c r="N489" s="21"/>
      <c r="O489" s="21"/>
      <c r="P489" s="26"/>
      <c r="Q489" s="26"/>
      <c r="R489" s="21"/>
      <c r="S489" s="21"/>
      <c r="T489" s="22"/>
      <c r="U489" s="22"/>
      <c r="V489" s="24" t="str">
        <f aca="false">IF(OR(N($P489)=0,$Q489=""),"",$Q489/$P489-1)</f>
        <v/>
      </c>
      <c r="W489" s="25" t="str">
        <f aca="true">IF($J489="","",IF($M489="Active",TODAY(),IF($U489&lt;&gt;"",$U489,IF($L489&lt;&gt;"",$L489,TODAY())))-$J489)</f>
        <v/>
      </c>
      <c r="X489" s="25" t="str">
        <f aca="true">IF(OR($L489="",$M489&lt;&gt;"Active"),"",TODAY()-$L489)</f>
        <v/>
      </c>
      <c r="Y489" s="25" t="str">
        <f aca="false">IF($M489&lt;&gt;"Active","",INDEX(Lists!$C$4:$C$14,MATCH($K489,Lists!$A$4:$A$14,0)))</f>
        <v/>
      </c>
      <c r="Z489" s="25" t="str">
        <f aca="false">IF($B489="","",IF($M489&lt;&gt;"Active","Closed",IF($X489="","",IF($X489&gt;$Y489,"BREACH","On Track"))))</f>
        <v/>
      </c>
      <c r="AA489" s="25" t="str">
        <f aca="false">IF($K489="","",IFERROR(INDEX(Lists!$E$4:$E$14,MATCH($K489,Lists!$A$4:$A$14,0)),""))</f>
        <v/>
      </c>
      <c r="AB489" s="27" t="str">
        <f aca="false">IF($U489&lt;&gt;"",$U489,IF(OR($T489="",$M489&lt;&gt;"Active"),"",$T489+N($R489)))</f>
        <v/>
      </c>
      <c r="AC489" s="25" t="str">
        <f aca="false">IF(OR($T489="",$J489=""),"",$T489-$J489)</f>
        <v/>
      </c>
      <c r="AD489" s="25" t="str">
        <f aca="false">IF(AND($K489="Joined",$U489&lt;&gt;"",$J489&lt;&gt;""),$U489-$J489,"")</f>
        <v/>
      </c>
      <c r="AE489" s="25" t="str">
        <f aca="false">IF($K489="","",IF(OR($K489="Rejected",$K489="Withdrawn"),IFERROR(INDEX(Lists!$B$4:$B$14,MATCH($N489,Lists!$A$4:$A$14,0)),1),IFERROR(INDEX(Lists!$B$4:$B$14,MATCH($K489,Lists!$A$4:$A$14,0)),0)))</f>
        <v/>
      </c>
    </row>
    <row r="490" customFormat="false" ht="15" hidden="false" customHeight="false" outlineLevel="0" collapsed="false">
      <c r="A490" s="25" t="str">
        <f aca="false">IF($B490="","","C-"&amp;TEXT(ROW()-1,"0000"))</f>
        <v/>
      </c>
      <c r="B490" s="21"/>
      <c r="C490" s="21"/>
      <c r="D490" s="21"/>
      <c r="E490" s="21"/>
      <c r="F490" s="25" t="str">
        <f aca="false">IF($E490="","",IFERROR(INDEX(Requisitions!$B$2:$B$101,MATCH($E490,Requisitions!$A$2:$A$101,0)),"Unknown Req"))</f>
        <v/>
      </c>
      <c r="G490" s="25" t="str">
        <f aca="false">IF($E490="","",IFERROR(INDEX(Requisitions!$D$2:$D$101,MATCH($E490,Requisitions!$A$2:$A$101,0)),""))</f>
        <v/>
      </c>
      <c r="H490" s="21"/>
      <c r="I490" s="21"/>
      <c r="J490" s="22"/>
      <c r="K490" s="21"/>
      <c r="L490" s="22"/>
      <c r="M490" s="25" t="str">
        <f aca="false">IF($K490="","",IFERROR(INDEX(Lists!$D$4:$D$14,MATCH($K490,Lists!$A$4:$A$14,0)),"Check stage"))</f>
        <v/>
      </c>
      <c r="N490" s="21"/>
      <c r="O490" s="21"/>
      <c r="P490" s="26"/>
      <c r="Q490" s="26"/>
      <c r="R490" s="21"/>
      <c r="S490" s="21"/>
      <c r="T490" s="22"/>
      <c r="U490" s="22"/>
      <c r="V490" s="24" t="str">
        <f aca="false">IF(OR(N($P490)=0,$Q490=""),"",$Q490/$P490-1)</f>
        <v/>
      </c>
      <c r="W490" s="25" t="str">
        <f aca="true">IF($J490="","",IF($M490="Active",TODAY(),IF($U490&lt;&gt;"",$U490,IF($L490&lt;&gt;"",$L490,TODAY())))-$J490)</f>
        <v/>
      </c>
      <c r="X490" s="25" t="str">
        <f aca="true">IF(OR($L490="",$M490&lt;&gt;"Active"),"",TODAY()-$L490)</f>
        <v/>
      </c>
      <c r="Y490" s="25" t="str">
        <f aca="false">IF($M490&lt;&gt;"Active","",INDEX(Lists!$C$4:$C$14,MATCH($K490,Lists!$A$4:$A$14,0)))</f>
        <v/>
      </c>
      <c r="Z490" s="25" t="str">
        <f aca="false">IF($B490="","",IF($M490&lt;&gt;"Active","Closed",IF($X490="","",IF($X490&gt;$Y490,"BREACH","On Track"))))</f>
        <v/>
      </c>
      <c r="AA490" s="25" t="str">
        <f aca="false">IF($K490="","",IFERROR(INDEX(Lists!$E$4:$E$14,MATCH($K490,Lists!$A$4:$A$14,0)),""))</f>
        <v/>
      </c>
      <c r="AB490" s="27" t="str">
        <f aca="false">IF($U490&lt;&gt;"",$U490,IF(OR($T490="",$M490&lt;&gt;"Active"),"",$T490+N($R490)))</f>
        <v/>
      </c>
      <c r="AC490" s="25" t="str">
        <f aca="false">IF(OR($T490="",$J490=""),"",$T490-$J490)</f>
        <v/>
      </c>
      <c r="AD490" s="25" t="str">
        <f aca="false">IF(AND($K490="Joined",$U490&lt;&gt;"",$J490&lt;&gt;""),$U490-$J490,"")</f>
        <v/>
      </c>
      <c r="AE490" s="25" t="str">
        <f aca="false">IF($K490="","",IF(OR($K490="Rejected",$K490="Withdrawn"),IFERROR(INDEX(Lists!$B$4:$B$14,MATCH($N490,Lists!$A$4:$A$14,0)),1),IFERROR(INDEX(Lists!$B$4:$B$14,MATCH($K490,Lists!$A$4:$A$14,0)),0)))</f>
        <v/>
      </c>
    </row>
    <row r="491" customFormat="false" ht="15" hidden="false" customHeight="false" outlineLevel="0" collapsed="false">
      <c r="A491" s="25" t="str">
        <f aca="false">IF($B491="","","C-"&amp;TEXT(ROW()-1,"0000"))</f>
        <v/>
      </c>
      <c r="B491" s="21"/>
      <c r="C491" s="21"/>
      <c r="D491" s="21"/>
      <c r="E491" s="21"/>
      <c r="F491" s="25" t="str">
        <f aca="false">IF($E491="","",IFERROR(INDEX(Requisitions!$B$2:$B$101,MATCH($E491,Requisitions!$A$2:$A$101,0)),"Unknown Req"))</f>
        <v/>
      </c>
      <c r="G491" s="25" t="str">
        <f aca="false">IF($E491="","",IFERROR(INDEX(Requisitions!$D$2:$D$101,MATCH($E491,Requisitions!$A$2:$A$101,0)),""))</f>
        <v/>
      </c>
      <c r="H491" s="21"/>
      <c r="I491" s="21"/>
      <c r="J491" s="22"/>
      <c r="K491" s="21"/>
      <c r="L491" s="22"/>
      <c r="M491" s="25" t="str">
        <f aca="false">IF($K491="","",IFERROR(INDEX(Lists!$D$4:$D$14,MATCH($K491,Lists!$A$4:$A$14,0)),"Check stage"))</f>
        <v/>
      </c>
      <c r="N491" s="21"/>
      <c r="O491" s="21"/>
      <c r="P491" s="26"/>
      <c r="Q491" s="26"/>
      <c r="R491" s="21"/>
      <c r="S491" s="21"/>
      <c r="T491" s="22"/>
      <c r="U491" s="22"/>
      <c r="V491" s="24" t="str">
        <f aca="false">IF(OR(N($P491)=0,$Q491=""),"",$Q491/$P491-1)</f>
        <v/>
      </c>
      <c r="W491" s="25" t="str">
        <f aca="true">IF($J491="","",IF($M491="Active",TODAY(),IF($U491&lt;&gt;"",$U491,IF($L491&lt;&gt;"",$L491,TODAY())))-$J491)</f>
        <v/>
      </c>
      <c r="X491" s="25" t="str">
        <f aca="true">IF(OR($L491="",$M491&lt;&gt;"Active"),"",TODAY()-$L491)</f>
        <v/>
      </c>
      <c r="Y491" s="25" t="str">
        <f aca="false">IF($M491&lt;&gt;"Active","",INDEX(Lists!$C$4:$C$14,MATCH($K491,Lists!$A$4:$A$14,0)))</f>
        <v/>
      </c>
      <c r="Z491" s="25" t="str">
        <f aca="false">IF($B491="","",IF($M491&lt;&gt;"Active","Closed",IF($X491="","",IF($X491&gt;$Y491,"BREACH","On Track"))))</f>
        <v/>
      </c>
      <c r="AA491" s="25" t="str">
        <f aca="false">IF($K491="","",IFERROR(INDEX(Lists!$E$4:$E$14,MATCH($K491,Lists!$A$4:$A$14,0)),""))</f>
        <v/>
      </c>
      <c r="AB491" s="27" t="str">
        <f aca="false">IF($U491&lt;&gt;"",$U491,IF(OR($T491="",$M491&lt;&gt;"Active"),"",$T491+N($R491)))</f>
        <v/>
      </c>
      <c r="AC491" s="25" t="str">
        <f aca="false">IF(OR($T491="",$J491=""),"",$T491-$J491)</f>
        <v/>
      </c>
      <c r="AD491" s="25" t="str">
        <f aca="false">IF(AND($K491="Joined",$U491&lt;&gt;"",$J491&lt;&gt;""),$U491-$J491,"")</f>
        <v/>
      </c>
      <c r="AE491" s="25" t="str">
        <f aca="false">IF($K491="","",IF(OR($K491="Rejected",$K491="Withdrawn"),IFERROR(INDEX(Lists!$B$4:$B$14,MATCH($N491,Lists!$A$4:$A$14,0)),1),IFERROR(INDEX(Lists!$B$4:$B$14,MATCH($K491,Lists!$A$4:$A$14,0)),0)))</f>
        <v/>
      </c>
    </row>
    <row r="492" customFormat="false" ht="15" hidden="false" customHeight="false" outlineLevel="0" collapsed="false">
      <c r="A492" s="25" t="str">
        <f aca="false">IF($B492="","","C-"&amp;TEXT(ROW()-1,"0000"))</f>
        <v/>
      </c>
      <c r="B492" s="21"/>
      <c r="C492" s="21"/>
      <c r="D492" s="21"/>
      <c r="E492" s="21"/>
      <c r="F492" s="25" t="str">
        <f aca="false">IF($E492="","",IFERROR(INDEX(Requisitions!$B$2:$B$101,MATCH($E492,Requisitions!$A$2:$A$101,0)),"Unknown Req"))</f>
        <v/>
      </c>
      <c r="G492" s="25" t="str">
        <f aca="false">IF($E492="","",IFERROR(INDEX(Requisitions!$D$2:$D$101,MATCH($E492,Requisitions!$A$2:$A$101,0)),""))</f>
        <v/>
      </c>
      <c r="H492" s="21"/>
      <c r="I492" s="21"/>
      <c r="J492" s="22"/>
      <c r="K492" s="21"/>
      <c r="L492" s="22"/>
      <c r="M492" s="25" t="str">
        <f aca="false">IF($K492="","",IFERROR(INDEX(Lists!$D$4:$D$14,MATCH($K492,Lists!$A$4:$A$14,0)),"Check stage"))</f>
        <v/>
      </c>
      <c r="N492" s="21"/>
      <c r="O492" s="21"/>
      <c r="P492" s="26"/>
      <c r="Q492" s="26"/>
      <c r="R492" s="21"/>
      <c r="S492" s="21"/>
      <c r="T492" s="22"/>
      <c r="U492" s="22"/>
      <c r="V492" s="24" t="str">
        <f aca="false">IF(OR(N($P492)=0,$Q492=""),"",$Q492/$P492-1)</f>
        <v/>
      </c>
      <c r="W492" s="25" t="str">
        <f aca="true">IF($J492="","",IF($M492="Active",TODAY(),IF($U492&lt;&gt;"",$U492,IF($L492&lt;&gt;"",$L492,TODAY())))-$J492)</f>
        <v/>
      </c>
      <c r="X492" s="25" t="str">
        <f aca="true">IF(OR($L492="",$M492&lt;&gt;"Active"),"",TODAY()-$L492)</f>
        <v/>
      </c>
      <c r="Y492" s="25" t="str">
        <f aca="false">IF($M492&lt;&gt;"Active","",INDEX(Lists!$C$4:$C$14,MATCH($K492,Lists!$A$4:$A$14,0)))</f>
        <v/>
      </c>
      <c r="Z492" s="25" t="str">
        <f aca="false">IF($B492="","",IF($M492&lt;&gt;"Active","Closed",IF($X492="","",IF($X492&gt;$Y492,"BREACH","On Track"))))</f>
        <v/>
      </c>
      <c r="AA492" s="25" t="str">
        <f aca="false">IF($K492="","",IFERROR(INDEX(Lists!$E$4:$E$14,MATCH($K492,Lists!$A$4:$A$14,0)),""))</f>
        <v/>
      </c>
      <c r="AB492" s="27" t="str">
        <f aca="false">IF($U492&lt;&gt;"",$U492,IF(OR($T492="",$M492&lt;&gt;"Active"),"",$T492+N($R492)))</f>
        <v/>
      </c>
      <c r="AC492" s="25" t="str">
        <f aca="false">IF(OR($T492="",$J492=""),"",$T492-$J492)</f>
        <v/>
      </c>
      <c r="AD492" s="25" t="str">
        <f aca="false">IF(AND($K492="Joined",$U492&lt;&gt;"",$J492&lt;&gt;""),$U492-$J492,"")</f>
        <v/>
      </c>
      <c r="AE492" s="25" t="str">
        <f aca="false">IF($K492="","",IF(OR($K492="Rejected",$K492="Withdrawn"),IFERROR(INDEX(Lists!$B$4:$B$14,MATCH($N492,Lists!$A$4:$A$14,0)),1),IFERROR(INDEX(Lists!$B$4:$B$14,MATCH($K492,Lists!$A$4:$A$14,0)),0)))</f>
        <v/>
      </c>
    </row>
    <row r="493" customFormat="false" ht="15" hidden="false" customHeight="false" outlineLevel="0" collapsed="false">
      <c r="A493" s="25" t="str">
        <f aca="false">IF($B493="","","C-"&amp;TEXT(ROW()-1,"0000"))</f>
        <v/>
      </c>
      <c r="B493" s="21"/>
      <c r="C493" s="21"/>
      <c r="D493" s="21"/>
      <c r="E493" s="21"/>
      <c r="F493" s="25" t="str">
        <f aca="false">IF($E493="","",IFERROR(INDEX(Requisitions!$B$2:$B$101,MATCH($E493,Requisitions!$A$2:$A$101,0)),"Unknown Req"))</f>
        <v/>
      </c>
      <c r="G493" s="25" t="str">
        <f aca="false">IF($E493="","",IFERROR(INDEX(Requisitions!$D$2:$D$101,MATCH($E493,Requisitions!$A$2:$A$101,0)),""))</f>
        <v/>
      </c>
      <c r="H493" s="21"/>
      <c r="I493" s="21"/>
      <c r="J493" s="22"/>
      <c r="K493" s="21"/>
      <c r="L493" s="22"/>
      <c r="M493" s="25" t="str">
        <f aca="false">IF($K493="","",IFERROR(INDEX(Lists!$D$4:$D$14,MATCH($K493,Lists!$A$4:$A$14,0)),"Check stage"))</f>
        <v/>
      </c>
      <c r="N493" s="21"/>
      <c r="O493" s="21"/>
      <c r="P493" s="26"/>
      <c r="Q493" s="26"/>
      <c r="R493" s="21"/>
      <c r="S493" s="21"/>
      <c r="T493" s="22"/>
      <c r="U493" s="22"/>
      <c r="V493" s="24" t="str">
        <f aca="false">IF(OR(N($P493)=0,$Q493=""),"",$Q493/$P493-1)</f>
        <v/>
      </c>
      <c r="W493" s="25" t="str">
        <f aca="true">IF($J493="","",IF($M493="Active",TODAY(),IF($U493&lt;&gt;"",$U493,IF($L493&lt;&gt;"",$L493,TODAY())))-$J493)</f>
        <v/>
      </c>
      <c r="X493" s="25" t="str">
        <f aca="true">IF(OR($L493="",$M493&lt;&gt;"Active"),"",TODAY()-$L493)</f>
        <v/>
      </c>
      <c r="Y493" s="25" t="str">
        <f aca="false">IF($M493&lt;&gt;"Active","",INDEX(Lists!$C$4:$C$14,MATCH($K493,Lists!$A$4:$A$14,0)))</f>
        <v/>
      </c>
      <c r="Z493" s="25" t="str">
        <f aca="false">IF($B493="","",IF($M493&lt;&gt;"Active","Closed",IF($X493="","",IF($X493&gt;$Y493,"BREACH","On Track"))))</f>
        <v/>
      </c>
      <c r="AA493" s="25" t="str">
        <f aca="false">IF($K493="","",IFERROR(INDEX(Lists!$E$4:$E$14,MATCH($K493,Lists!$A$4:$A$14,0)),""))</f>
        <v/>
      </c>
      <c r="AB493" s="27" t="str">
        <f aca="false">IF($U493&lt;&gt;"",$U493,IF(OR($T493="",$M493&lt;&gt;"Active"),"",$T493+N($R493)))</f>
        <v/>
      </c>
      <c r="AC493" s="25" t="str">
        <f aca="false">IF(OR($T493="",$J493=""),"",$T493-$J493)</f>
        <v/>
      </c>
      <c r="AD493" s="25" t="str">
        <f aca="false">IF(AND($K493="Joined",$U493&lt;&gt;"",$J493&lt;&gt;""),$U493-$J493,"")</f>
        <v/>
      </c>
      <c r="AE493" s="25" t="str">
        <f aca="false">IF($K493="","",IF(OR($K493="Rejected",$K493="Withdrawn"),IFERROR(INDEX(Lists!$B$4:$B$14,MATCH($N493,Lists!$A$4:$A$14,0)),1),IFERROR(INDEX(Lists!$B$4:$B$14,MATCH($K493,Lists!$A$4:$A$14,0)),0)))</f>
        <v/>
      </c>
    </row>
    <row r="494" customFormat="false" ht="15" hidden="false" customHeight="false" outlineLevel="0" collapsed="false">
      <c r="A494" s="25" t="str">
        <f aca="false">IF($B494="","","C-"&amp;TEXT(ROW()-1,"0000"))</f>
        <v/>
      </c>
      <c r="B494" s="21"/>
      <c r="C494" s="21"/>
      <c r="D494" s="21"/>
      <c r="E494" s="21"/>
      <c r="F494" s="25" t="str">
        <f aca="false">IF($E494="","",IFERROR(INDEX(Requisitions!$B$2:$B$101,MATCH($E494,Requisitions!$A$2:$A$101,0)),"Unknown Req"))</f>
        <v/>
      </c>
      <c r="G494" s="25" t="str">
        <f aca="false">IF($E494="","",IFERROR(INDEX(Requisitions!$D$2:$D$101,MATCH($E494,Requisitions!$A$2:$A$101,0)),""))</f>
        <v/>
      </c>
      <c r="H494" s="21"/>
      <c r="I494" s="21"/>
      <c r="J494" s="22"/>
      <c r="K494" s="21"/>
      <c r="L494" s="22"/>
      <c r="M494" s="25" t="str">
        <f aca="false">IF($K494="","",IFERROR(INDEX(Lists!$D$4:$D$14,MATCH($K494,Lists!$A$4:$A$14,0)),"Check stage"))</f>
        <v/>
      </c>
      <c r="N494" s="21"/>
      <c r="O494" s="21"/>
      <c r="P494" s="26"/>
      <c r="Q494" s="26"/>
      <c r="R494" s="21"/>
      <c r="S494" s="21"/>
      <c r="T494" s="22"/>
      <c r="U494" s="22"/>
      <c r="V494" s="24" t="str">
        <f aca="false">IF(OR(N($P494)=0,$Q494=""),"",$Q494/$P494-1)</f>
        <v/>
      </c>
      <c r="W494" s="25" t="str">
        <f aca="true">IF($J494="","",IF($M494="Active",TODAY(),IF($U494&lt;&gt;"",$U494,IF($L494&lt;&gt;"",$L494,TODAY())))-$J494)</f>
        <v/>
      </c>
      <c r="X494" s="25" t="str">
        <f aca="true">IF(OR($L494="",$M494&lt;&gt;"Active"),"",TODAY()-$L494)</f>
        <v/>
      </c>
      <c r="Y494" s="25" t="str">
        <f aca="false">IF($M494&lt;&gt;"Active","",INDEX(Lists!$C$4:$C$14,MATCH($K494,Lists!$A$4:$A$14,0)))</f>
        <v/>
      </c>
      <c r="Z494" s="25" t="str">
        <f aca="false">IF($B494="","",IF($M494&lt;&gt;"Active","Closed",IF($X494="","",IF($X494&gt;$Y494,"BREACH","On Track"))))</f>
        <v/>
      </c>
      <c r="AA494" s="25" t="str">
        <f aca="false">IF($K494="","",IFERROR(INDEX(Lists!$E$4:$E$14,MATCH($K494,Lists!$A$4:$A$14,0)),""))</f>
        <v/>
      </c>
      <c r="AB494" s="27" t="str">
        <f aca="false">IF($U494&lt;&gt;"",$U494,IF(OR($T494="",$M494&lt;&gt;"Active"),"",$T494+N($R494)))</f>
        <v/>
      </c>
      <c r="AC494" s="25" t="str">
        <f aca="false">IF(OR($T494="",$J494=""),"",$T494-$J494)</f>
        <v/>
      </c>
      <c r="AD494" s="25" t="str">
        <f aca="false">IF(AND($K494="Joined",$U494&lt;&gt;"",$J494&lt;&gt;""),$U494-$J494,"")</f>
        <v/>
      </c>
      <c r="AE494" s="25" t="str">
        <f aca="false">IF($K494="","",IF(OR($K494="Rejected",$K494="Withdrawn"),IFERROR(INDEX(Lists!$B$4:$B$14,MATCH($N494,Lists!$A$4:$A$14,0)),1),IFERROR(INDEX(Lists!$B$4:$B$14,MATCH($K494,Lists!$A$4:$A$14,0)),0)))</f>
        <v/>
      </c>
    </row>
    <row r="495" customFormat="false" ht="15" hidden="false" customHeight="false" outlineLevel="0" collapsed="false">
      <c r="A495" s="25" t="str">
        <f aca="false">IF($B495="","","C-"&amp;TEXT(ROW()-1,"0000"))</f>
        <v/>
      </c>
      <c r="B495" s="21"/>
      <c r="C495" s="21"/>
      <c r="D495" s="21"/>
      <c r="E495" s="21"/>
      <c r="F495" s="25" t="str">
        <f aca="false">IF($E495="","",IFERROR(INDEX(Requisitions!$B$2:$B$101,MATCH($E495,Requisitions!$A$2:$A$101,0)),"Unknown Req"))</f>
        <v/>
      </c>
      <c r="G495" s="25" t="str">
        <f aca="false">IF($E495="","",IFERROR(INDEX(Requisitions!$D$2:$D$101,MATCH($E495,Requisitions!$A$2:$A$101,0)),""))</f>
        <v/>
      </c>
      <c r="H495" s="21"/>
      <c r="I495" s="21"/>
      <c r="J495" s="22"/>
      <c r="K495" s="21"/>
      <c r="L495" s="22"/>
      <c r="M495" s="25" t="str">
        <f aca="false">IF($K495="","",IFERROR(INDEX(Lists!$D$4:$D$14,MATCH($K495,Lists!$A$4:$A$14,0)),"Check stage"))</f>
        <v/>
      </c>
      <c r="N495" s="21"/>
      <c r="O495" s="21"/>
      <c r="P495" s="26"/>
      <c r="Q495" s="26"/>
      <c r="R495" s="21"/>
      <c r="S495" s="21"/>
      <c r="T495" s="22"/>
      <c r="U495" s="22"/>
      <c r="V495" s="24" t="str">
        <f aca="false">IF(OR(N($P495)=0,$Q495=""),"",$Q495/$P495-1)</f>
        <v/>
      </c>
      <c r="W495" s="25" t="str">
        <f aca="true">IF($J495="","",IF($M495="Active",TODAY(),IF($U495&lt;&gt;"",$U495,IF($L495&lt;&gt;"",$L495,TODAY())))-$J495)</f>
        <v/>
      </c>
      <c r="X495" s="25" t="str">
        <f aca="true">IF(OR($L495="",$M495&lt;&gt;"Active"),"",TODAY()-$L495)</f>
        <v/>
      </c>
      <c r="Y495" s="25" t="str">
        <f aca="false">IF($M495&lt;&gt;"Active","",INDEX(Lists!$C$4:$C$14,MATCH($K495,Lists!$A$4:$A$14,0)))</f>
        <v/>
      </c>
      <c r="Z495" s="25" t="str">
        <f aca="false">IF($B495="","",IF($M495&lt;&gt;"Active","Closed",IF($X495="","",IF($X495&gt;$Y495,"BREACH","On Track"))))</f>
        <v/>
      </c>
      <c r="AA495" s="25" t="str">
        <f aca="false">IF($K495="","",IFERROR(INDEX(Lists!$E$4:$E$14,MATCH($K495,Lists!$A$4:$A$14,0)),""))</f>
        <v/>
      </c>
      <c r="AB495" s="27" t="str">
        <f aca="false">IF($U495&lt;&gt;"",$U495,IF(OR($T495="",$M495&lt;&gt;"Active"),"",$T495+N($R495)))</f>
        <v/>
      </c>
      <c r="AC495" s="25" t="str">
        <f aca="false">IF(OR($T495="",$J495=""),"",$T495-$J495)</f>
        <v/>
      </c>
      <c r="AD495" s="25" t="str">
        <f aca="false">IF(AND($K495="Joined",$U495&lt;&gt;"",$J495&lt;&gt;""),$U495-$J495,"")</f>
        <v/>
      </c>
      <c r="AE495" s="25" t="str">
        <f aca="false">IF($K495="","",IF(OR($K495="Rejected",$K495="Withdrawn"),IFERROR(INDEX(Lists!$B$4:$B$14,MATCH($N495,Lists!$A$4:$A$14,0)),1),IFERROR(INDEX(Lists!$B$4:$B$14,MATCH($K495,Lists!$A$4:$A$14,0)),0)))</f>
        <v/>
      </c>
    </row>
    <row r="496" customFormat="false" ht="15" hidden="false" customHeight="false" outlineLevel="0" collapsed="false">
      <c r="A496" s="25" t="str">
        <f aca="false">IF($B496="","","C-"&amp;TEXT(ROW()-1,"0000"))</f>
        <v/>
      </c>
      <c r="B496" s="21"/>
      <c r="C496" s="21"/>
      <c r="D496" s="21"/>
      <c r="E496" s="21"/>
      <c r="F496" s="25" t="str">
        <f aca="false">IF($E496="","",IFERROR(INDEX(Requisitions!$B$2:$B$101,MATCH($E496,Requisitions!$A$2:$A$101,0)),"Unknown Req"))</f>
        <v/>
      </c>
      <c r="G496" s="25" t="str">
        <f aca="false">IF($E496="","",IFERROR(INDEX(Requisitions!$D$2:$D$101,MATCH($E496,Requisitions!$A$2:$A$101,0)),""))</f>
        <v/>
      </c>
      <c r="H496" s="21"/>
      <c r="I496" s="21"/>
      <c r="J496" s="22"/>
      <c r="K496" s="21"/>
      <c r="L496" s="22"/>
      <c r="M496" s="25" t="str">
        <f aca="false">IF($K496="","",IFERROR(INDEX(Lists!$D$4:$D$14,MATCH($K496,Lists!$A$4:$A$14,0)),"Check stage"))</f>
        <v/>
      </c>
      <c r="N496" s="21"/>
      <c r="O496" s="21"/>
      <c r="P496" s="26"/>
      <c r="Q496" s="26"/>
      <c r="R496" s="21"/>
      <c r="S496" s="21"/>
      <c r="T496" s="22"/>
      <c r="U496" s="22"/>
      <c r="V496" s="24" t="str">
        <f aca="false">IF(OR(N($P496)=0,$Q496=""),"",$Q496/$P496-1)</f>
        <v/>
      </c>
      <c r="W496" s="25" t="str">
        <f aca="true">IF($J496="","",IF($M496="Active",TODAY(),IF($U496&lt;&gt;"",$U496,IF($L496&lt;&gt;"",$L496,TODAY())))-$J496)</f>
        <v/>
      </c>
      <c r="X496" s="25" t="str">
        <f aca="true">IF(OR($L496="",$M496&lt;&gt;"Active"),"",TODAY()-$L496)</f>
        <v/>
      </c>
      <c r="Y496" s="25" t="str">
        <f aca="false">IF($M496&lt;&gt;"Active","",INDEX(Lists!$C$4:$C$14,MATCH($K496,Lists!$A$4:$A$14,0)))</f>
        <v/>
      </c>
      <c r="Z496" s="25" t="str">
        <f aca="false">IF($B496="","",IF($M496&lt;&gt;"Active","Closed",IF($X496="","",IF($X496&gt;$Y496,"BREACH","On Track"))))</f>
        <v/>
      </c>
      <c r="AA496" s="25" t="str">
        <f aca="false">IF($K496="","",IFERROR(INDEX(Lists!$E$4:$E$14,MATCH($K496,Lists!$A$4:$A$14,0)),""))</f>
        <v/>
      </c>
      <c r="AB496" s="27" t="str">
        <f aca="false">IF($U496&lt;&gt;"",$U496,IF(OR($T496="",$M496&lt;&gt;"Active"),"",$T496+N($R496)))</f>
        <v/>
      </c>
      <c r="AC496" s="25" t="str">
        <f aca="false">IF(OR($T496="",$J496=""),"",$T496-$J496)</f>
        <v/>
      </c>
      <c r="AD496" s="25" t="str">
        <f aca="false">IF(AND($K496="Joined",$U496&lt;&gt;"",$J496&lt;&gt;""),$U496-$J496,"")</f>
        <v/>
      </c>
      <c r="AE496" s="25" t="str">
        <f aca="false">IF($K496="","",IF(OR($K496="Rejected",$K496="Withdrawn"),IFERROR(INDEX(Lists!$B$4:$B$14,MATCH($N496,Lists!$A$4:$A$14,0)),1),IFERROR(INDEX(Lists!$B$4:$B$14,MATCH($K496,Lists!$A$4:$A$14,0)),0)))</f>
        <v/>
      </c>
    </row>
    <row r="497" customFormat="false" ht="15" hidden="false" customHeight="false" outlineLevel="0" collapsed="false">
      <c r="A497" s="25" t="str">
        <f aca="false">IF($B497="","","C-"&amp;TEXT(ROW()-1,"0000"))</f>
        <v/>
      </c>
      <c r="B497" s="21"/>
      <c r="C497" s="21"/>
      <c r="D497" s="21"/>
      <c r="E497" s="21"/>
      <c r="F497" s="25" t="str">
        <f aca="false">IF($E497="","",IFERROR(INDEX(Requisitions!$B$2:$B$101,MATCH($E497,Requisitions!$A$2:$A$101,0)),"Unknown Req"))</f>
        <v/>
      </c>
      <c r="G497" s="25" t="str">
        <f aca="false">IF($E497="","",IFERROR(INDEX(Requisitions!$D$2:$D$101,MATCH($E497,Requisitions!$A$2:$A$101,0)),""))</f>
        <v/>
      </c>
      <c r="H497" s="21"/>
      <c r="I497" s="21"/>
      <c r="J497" s="22"/>
      <c r="K497" s="21"/>
      <c r="L497" s="22"/>
      <c r="M497" s="25" t="str">
        <f aca="false">IF($K497="","",IFERROR(INDEX(Lists!$D$4:$D$14,MATCH($K497,Lists!$A$4:$A$14,0)),"Check stage"))</f>
        <v/>
      </c>
      <c r="N497" s="21"/>
      <c r="O497" s="21"/>
      <c r="P497" s="26"/>
      <c r="Q497" s="26"/>
      <c r="R497" s="21"/>
      <c r="S497" s="21"/>
      <c r="T497" s="22"/>
      <c r="U497" s="22"/>
      <c r="V497" s="24" t="str">
        <f aca="false">IF(OR(N($P497)=0,$Q497=""),"",$Q497/$P497-1)</f>
        <v/>
      </c>
      <c r="W497" s="25" t="str">
        <f aca="true">IF($J497="","",IF($M497="Active",TODAY(),IF($U497&lt;&gt;"",$U497,IF($L497&lt;&gt;"",$L497,TODAY())))-$J497)</f>
        <v/>
      </c>
      <c r="X497" s="25" t="str">
        <f aca="true">IF(OR($L497="",$M497&lt;&gt;"Active"),"",TODAY()-$L497)</f>
        <v/>
      </c>
      <c r="Y497" s="25" t="str">
        <f aca="false">IF($M497&lt;&gt;"Active","",INDEX(Lists!$C$4:$C$14,MATCH($K497,Lists!$A$4:$A$14,0)))</f>
        <v/>
      </c>
      <c r="Z497" s="25" t="str">
        <f aca="false">IF($B497="","",IF($M497&lt;&gt;"Active","Closed",IF($X497="","",IF($X497&gt;$Y497,"BREACH","On Track"))))</f>
        <v/>
      </c>
      <c r="AA497" s="25" t="str">
        <f aca="false">IF($K497="","",IFERROR(INDEX(Lists!$E$4:$E$14,MATCH($K497,Lists!$A$4:$A$14,0)),""))</f>
        <v/>
      </c>
      <c r="AB497" s="27" t="str">
        <f aca="false">IF($U497&lt;&gt;"",$U497,IF(OR($T497="",$M497&lt;&gt;"Active"),"",$T497+N($R497)))</f>
        <v/>
      </c>
      <c r="AC497" s="25" t="str">
        <f aca="false">IF(OR($T497="",$J497=""),"",$T497-$J497)</f>
        <v/>
      </c>
      <c r="AD497" s="25" t="str">
        <f aca="false">IF(AND($K497="Joined",$U497&lt;&gt;"",$J497&lt;&gt;""),$U497-$J497,"")</f>
        <v/>
      </c>
      <c r="AE497" s="25" t="str">
        <f aca="false">IF($K497="","",IF(OR($K497="Rejected",$K497="Withdrawn"),IFERROR(INDEX(Lists!$B$4:$B$14,MATCH($N497,Lists!$A$4:$A$14,0)),1),IFERROR(INDEX(Lists!$B$4:$B$14,MATCH($K497,Lists!$A$4:$A$14,0)),0)))</f>
        <v/>
      </c>
    </row>
    <row r="498" customFormat="false" ht="15" hidden="false" customHeight="false" outlineLevel="0" collapsed="false">
      <c r="A498" s="25" t="str">
        <f aca="false">IF($B498="","","C-"&amp;TEXT(ROW()-1,"0000"))</f>
        <v/>
      </c>
      <c r="B498" s="21"/>
      <c r="C498" s="21"/>
      <c r="D498" s="21"/>
      <c r="E498" s="21"/>
      <c r="F498" s="25" t="str">
        <f aca="false">IF($E498="","",IFERROR(INDEX(Requisitions!$B$2:$B$101,MATCH($E498,Requisitions!$A$2:$A$101,0)),"Unknown Req"))</f>
        <v/>
      </c>
      <c r="G498" s="25" t="str">
        <f aca="false">IF($E498="","",IFERROR(INDEX(Requisitions!$D$2:$D$101,MATCH($E498,Requisitions!$A$2:$A$101,0)),""))</f>
        <v/>
      </c>
      <c r="H498" s="21"/>
      <c r="I498" s="21"/>
      <c r="J498" s="22"/>
      <c r="K498" s="21"/>
      <c r="L498" s="22"/>
      <c r="M498" s="25" t="str">
        <f aca="false">IF($K498="","",IFERROR(INDEX(Lists!$D$4:$D$14,MATCH($K498,Lists!$A$4:$A$14,0)),"Check stage"))</f>
        <v/>
      </c>
      <c r="N498" s="21"/>
      <c r="O498" s="21"/>
      <c r="P498" s="26"/>
      <c r="Q498" s="26"/>
      <c r="R498" s="21"/>
      <c r="S498" s="21"/>
      <c r="T498" s="22"/>
      <c r="U498" s="22"/>
      <c r="V498" s="24" t="str">
        <f aca="false">IF(OR(N($P498)=0,$Q498=""),"",$Q498/$P498-1)</f>
        <v/>
      </c>
      <c r="W498" s="25" t="str">
        <f aca="true">IF($J498="","",IF($M498="Active",TODAY(),IF($U498&lt;&gt;"",$U498,IF($L498&lt;&gt;"",$L498,TODAY())))-$J498)</f>
        <v/>
      </c>
      <c r="X498" s="25" t="str">
        <f aca="true">IF(OR($L498="",$M498&lt;&gt;"Active"),"",TODAY()-$L498)</f>
        <v/>
      </c>
      <c r="Y498" s="25" t="str">
        <f aca="false">IF($M498&lt;&gt;"Active","",INDEX(Lists!$C$4:$C$14,MATCH($K498,Lists!$A$4:$A$14,0)))</f>
        <v/>
      </c>
      <c r="Z498" s="25" t="str">
        <f aca="false">IF($B498="","",IF($M498&lt;&gt;"Active","Closed",IF($X498="","",IF($X498&gt;$Y498,"BREACH","On Track"))))</f>
        <v/>
      </c>
      <c r="AA498" s="25" t="str">
        <f aca="false">IF($K498="","",IFERROR(INDEX(Lists!$E$4:$E$14,MATCH($K498,Lists!$A$4:$A$14,0)),""))</f>
        <v/>
      </c>
      <c r="AB498" s="27" t="str">
        <f aca="false">IF($U498&lt;&gt;"",$U498,IF(OR($T498="",$M498&lt;&gt;"Active"),"",$T498+N($R498)))</f>
        <v/>
      </c>
      <c r="AC498" s="25" t="str">
        <f aca="false">IF(OR($T498="",$J498=""),"",$T498-$J498)</f>
        <v/>
      </c>
      <c r="AD498" s="25" t="str">
        <f aca="false">IF(AND($K498="Joined",$U498&lt;&gt;"",$J498&lt;&gt;""),$U498-$J498,"")</f>
        <v/>
      </c>
      <c r="AE498" s="25" t="str">
        <f aca="false">IF($K498="","",IF(OR($K498="Rejected",$K498="Withdrawn"),IFERROR(INDEX(Lists!$B$4:$B$14,MATCH($N498,Lists!$A$4:$A$14,0)),1),IFERROR(INDEX(Lists!$B$4:$B$14,MATCH($K498,Lists!$A$4:$A$14,0)),0)))</f>
        <v/>
      </c>
    </row>
    <row r="499" customFormat="false" ht="15" hidden="false" customHeight="false" outlineLevel="0" collapsed="false">
      <c r="A499" s="25" t="str">
        <f aca="false">IF($B499="","","C-"&amp;TEXT(ROW()-1,"0000"))</f>
        <v/>
      </c>
      <c r="B499" s="21"/>
      <c r="C499" s="21"/>
      <c r="D499" s="21"/>
      <c r="E499" s="21"/>
      <c r="F499" s="25" t="str">
        <f aca="false">IF($E499="","",IFERROR(INDEX(Requisitions!$B$2:$B$101,MATCH($E499,Requisitions!$A$2:$A$101,0)),"Unknown Req"))</f>
        <v/>
      </c>
      <c r="G499" s="25" t="str">
        <f aca="false">IF($E499="","",IFERROR(INDEX(Requisitions!$D$2:$D$101,MATCH($E499,Requisitions!$A$2:$A$101,0)),""))</f>
        <v/>
      </c>
      <c r="H499" s="21"/>
      <c r="I499" s="21"/>
      <c r="J499" s="22"/>
      <c r="K499" s="21"/>
      <c r="L499" s="22"/>
      <c r="M499" s="25" t="str">
        <f aca="false">IF($K499="","",IFERROR(INDEX(Lists!$D$4:$D$14,MATCH($K499,Lists!$A$4:$A$14,0)),"Check stage"))</f>
        <v/>
      </c>
      <c r="N499" s="21"/>
      <c r="O499" s="21"/>
      <c r="P499" s="26"/>
      <c r="Q499" s="26"/>
      <c r="R499" s="21"/>
      <c r="S499" s="21"/>
      <c r="T499" s="22"/>
      <c r="U499" s="22"/>
      <c r="V499" s="24" t="str">
        <f aca="false">IF(OR(N($P499)=0,$Q499=""),"",$Q499/$P499-1)</f>
        <v/>
      </c>
      <c r="W499" s="25" t="str">
        <f aca="true">IF($J499="","",IF($M499="Active",TODAY(),IF($U499&lt;&gt;"",$U499,IF($L499&lt;&gt;"",$L499,TODAY())))-$J499)</f>
        <v/>
      </c>
      <c r="X499" s="25" t="str">
        <f aca="true">IF(OR($L499="",$M499&lt;&gt;"Active"),"",TODAY()-$L499)</f>
        <v/>
      </c>
      <c r="Y499" s="25" t="str">
        <f aca="false">IF($M499&lt;&gt;"Active","",INDEX(Lists!$C$4:$C$14,MATCH($K499,Lists!$A$4:$A$14,0)))</f>
        <v/>
      </c>
      <c r="Z499" s="25" t="str">
        <f aca="false">IF($B499="","",IF($M499&lt;&gt;"Active","Closed",IF($X499="","",IF($X499&gt;$Y499,"BREACH","On Track"))))</f>
        <v/>
      </c>
      <c r="AA499" s="25" t="str">
        <f aca="false">IF($K499="","",IFERROR(INDEX(Lists!$E$4:$E$14,MATCH($K499,Lists!$A$4:$A$14,0)),""))</f>
        <v/>
      </c>
      <c r="AB499" s="27" t="str">
        <f aca="false">IF($U499&lt;&gt;"",$U499,IF(OR($T499="",$M499&lt;&gt;"Active"),"",$T499+N($R499)))</f>
        <v/>
      </c>
      <c r="AC499" s="25" t="str">
        <f aca="false">IF(OR($T499="",$J499=""),"",$T499-$J499)</f>
        <v/>
      </c>
      <c r="AD499" s="25" t="str">
        <f aca="false">IF(AND($K499="Joined",$U499&lt;&gt;"",$J499&lt;&gt;""),$U499-$J499,"")</f>
        <v/>
      </c>
      <c r="AE499" s="25" t="str">
        <f aca="false">IF($K499="","",IF(OR($K499="Rejected",$K499="Withdrawn"),IFERROR(INDEX(Lists!$B$4:$B$14,MATCH($N499,Lists!$A$4:$A$14,0)),1),IFERROR(INDEX(Lists!$B$4:$B$14,MATCH($K499,Lists!$A$4:$A$14,0)),0)))</f>
        <v/>
      </c>
    </row>
    <row r="500" customFormat="false" ht="15" hidden="false" customHeight="false" outlineLevel="0" collapsed="false">
      <c r="A500" s="25" t="str">
        <f aca="false">IF($B500="","","C-"&amp;TEXT(ROW()-1,"0000"))</f>
        <v/>
      </c>
      <c r="B500" s="21"/>
      <c r="C500" s="21"/>
      <c r="D500" s="21"/>
      <c r="E500" s="21"/>
      <c r="F500" s="25" t="str">
        <f aca="false">IF($E500="","",IFERROR(INDEX(Requisitions!$B$2:$B$101,MATCH($E500,Requisitions!$A$2:$A$101,0)),"Unknown Req"))</f>
        <v/>
      </c>
      <c r="G500" s="25" t="str">
        <f aca="false">IF($E500="","",IFERROR(INDEX(Requisitions!$D$2:$D$101,MATCH($E500,Requisitions!$A$2:$A$101,0)),""))</f>
        <v/>
      </c>
      <c r="H500" s="21"/>
      <c r="I500" s="21"/>
      <c r="J500" s="22"/>
      <c r="K500" s="21"/>
      <c r="L500" s="22"/>
      <c r="M500" s="25" t="str">
        <f aca="false">IF($K500="","",IFERROR(INDEX(Lists!$D$4:$D$14,MATCH($K500,Lists!$A$4:$A$14,0)),"Check stage"))</f>
        <v/>
      </c>
      <c r="N500" s="21"/>
      <c r="O500" s="21"/>
      <c r="P500" s="26"/>
      <c r="Q500" s="26"/>
      <c r="R500" s="21"/>
      <c r="S500" s="21"/>
      <c r="T500" s="22"/>
      <c r="U500" s="22"/>
      <c r="V500" s="24" t="str">
        <f aca="false">IF(OR(N($P500)=0,$Q500=""),"",$Q500/$P500-1)</f>
        <v/>
      </c>
      <c r="W500" s="25" t="str">
        <f aca="true">IF($J500="","",IF($M500="Active",TODAY(),IF($U500&lt;&gt;"",$U500,IF($L500&lt;&gt;"",$L500,TODAY())))-$J500)</f>
        <v/>
      </c>
      <c r="X500" s="25" t="str">
        <f aca="true">IF(OR($L500="",$M500&lt;&gt;"Active"),"",TODAY()-$L500)</f>
        <v/>
      </c>
      <c r="Y500" s="25" t="str">
        <f aca="false">IF($M500&lt;&gt;"Active","",INDEX(Lists!$C$4:$C$14,MATCH($K500,Lists!$A$4:$A$14,0)))</f>
        <v/>
      </c>
      <c r="Z500" s="25" t="str">
        <f aca="false">IF($B500="","",IF($M500&lt;&gt;"Active","Closed",IF($X500="","",IF($X500&gt;$Y500,"BREACH","On Track"))))</f>
        <v/>
      </c>
      <c r="AA500" s="25" t="str">
        <f aca="false">IF($K500="","",IFERROR(INDEX(Lists!$E$4:$E$14,MATCH($K500,Lists!$A$4:$A$14,0)),""))</f>
        <v/>
      </c>
      <c r="AB500" s="27" t="str">
        <f aca="false">IF($U500&lt;&gt;"",$U500,IF(OR($T500="",$M500&lt;&gt;"Active"),"",$T500+N($R500)))</f>
        <v/>
      </c>
      <c r="AC500" s="25" t="str">
        <f aca="false">IF(OR($T500="",$J500=""),"",$T500-$J500)</f>
        <v/>
      </c>
      <c r="AD500" s="25" t="str">
        <f aca="false">IF(AND($K500="Joined",$U500&lt;&gt;"",$J500&lt;&gt;""),$U500-$J500,"")</f>
        <v/>
      </c>
      <c r="AE500" s="25" t="str">
        <f aca="false">IF($K500="","",IF(OR($K500="Rejected",$K500="Withdrawn"),IFERROR(INDEX(Lists!$B$4:$B$14,MATCH($N500,Lists!$A$4:$A$14,0)),1),IFERROR(INDEX(Lists!$B$4:$B$14,MATCH($K500,Lists!$A$4:$A$14,0)),0)))</f>
        <v/>
      </c>
    </row>
    <row r="501" customFormat="false" ht="15" hidden="false" customHeight="false" outlineLevel="0" collapsed="false">
      <c r="A501" s="25" t="str">
        <f aca="false">IF($B501="","","C-"&amp;TEXT(ROW()-1,"0000"))</f>
        <v/>
      </c>
      <c r="B501" s="21"/>
      <c r="C501" s="21"/>
      <c r="D501" s="21"/>
      <c r="E501" s="21"/>
      <c r="F501" s="25" t="str">
        <f aca="false">IF($E501="","",IFERROR(INDEX(Requisitions!$B$2:$B$101,MATCH($E501,Requisitions!$A$2:$A$101,0)),"Unknown Req"))</f>
        <v/>
      </c>
      <c r="G501" s="25" t="str">
        <f aca="false">IF($E501="","",IFERROR(INDEX(Requisitions!$D$2:$D$101,MATCH($E501,Requisitions!$A$2:$A$101,0)),""))</f>
        <v/>
      </c>
      <c r="H501" s="21"/>
      <c r="I501" s="21"/>
      <c r="J501" s="22"/>
      <c r="K501" s="21"/>
      <c r="L501" s="22"/>
      <c r="M501" s="25" t="str">
        <f aca="false">IF($K501="","",IFERROR(INDEX(Lists!$D$4:$D$14,MATCH($K501,Lists!$A$4:$A$14,0)),"Check stage"))</f>
        <v/>
      </c>
      <c r="N501" s="21"/>
      <c r="O501" s="21"/>
      <c r="P501" s="26"/>
      <c r="Q501" s="26"/>
      <c r="R501" s="21"/>
      <c r="S501" s="21"/>
      <c r="T501" s="22"/>
      <c r="U501" s="22"/>
      <c r="V501" s="24" t="str">
        <f aca="false">IF(OR(N($P501)=0,$Q501=""),"",$Q501/$P501-1)</f>
        <v/>
      </c>
      <c r="W501" s="25" t="str">
        <f aca="true">IF($J501="","",IF($M501="Active",TODAY(),IF($U501&lt;&gt;"",$U501,IF($L501&lt;&gt;"",$L501,TODAY())))-$J501)</f>
        <v/>
      </c>
      <c r="X501" s="25" t="str">
        <f aca="true">IF(OR($L501="",$M501&lt;&gt;"Active"),"",TODAY()-$L501)</f>
        <v/>
      </c>
      <c r="Y501" s="25" t="str">
        <f aca="false">IF($M501&lt;&gt;"Active","",INDEX(Lists!$C$4:$C$14,MATCH($K501,Lists!$A$4:$A$14,0)))</f>
        <v/>
      </c>
      <c r="Z501" s="25" t="str">
        <f aca="false">IF($B501="","",IF($M501&lt;&gt;"Active","Closed",IF($X501="","",IF($X501&gt;$Y501,"BREACH","On Track"))))</f>
        <v/>
      </c>
      <c r="AA501" s="25" t="str">
        <f aca="false">IF($K501="","",IFERROR(INDEX(Lists!$E$4:$E$14,MATCH($K501,Lists!$A$4:$A$14,0)),""))</f>
        <v/>
      </c>
      <c r="AB501" s="27" t="str">
        <f aca="false">IF($U501&lt;&gt;"",$U501,IF(OR($T501="",$M501&lt;&gt;"Active"),"",$T501+N($R501)))</f>
        <v/>
      </c>
      <c r="AC501" s="25" t="str">
        <f aca="false">IF(OR($T501="",$J501=""),"",$T501-$J501)</f>
        <v/>
      </c>
      <c r="AD501" s="25" t="str">
        <f aca="false">IF(AND($K501="Joined",$U501&lt;&gt;"",$J501&lt;&gt;""),$U501-$J501,"")</f>
        <v/>
      </c>
      <c r="AE501" s="25" t="str">
        <f aca="false">IF($K501="","",IF(OR($K501="Rejected",$K501="Withdrawn"),IFERROR(INDEX(Lists!$B$4:$B$14,MATCH($N501,Lists!$A$4:$A$14,0)),1),IFERROR(INDEX(Lists!$B$4:$B$14,MATCH($K501,Lists!$A$4:$A$14,0)),0)))</f>
        <v/>
      </c>
    </row>
  </sheetData>
  <autoFilter ref="A1:AE501"/>
  <conditionalFormatting sqref="Z2:Z501">
    <cfRule type="cellIs" priority="2" operator="equal" aboveAverage="0" equalAverage="0" bottom="0" percent="0" rank="0" text="" dxfId="10">
      <formula>"BREACH"</formula>
    </cfRule>
    <cfRule type="cellIs" priority="3" operator="equal" aboveAverage="0" equalAverage="0" bottom="0" percent="0" rank="0" text="" dxfId="11">
      <formula>"On Track"</formula>
    </cfRule>
  </conditionalFormatting>
  <conditionalFormatting sqref="M2:M501">
    <cfRule type="cellIs" priority="4" operator="equal" aboveAverage="0" equalAverage="0" bottom="0" percent="0" rank="0" text="" dxfId="18">
      <formula>"Hired"</formula>
    </cfRule>
    <cfRule type="cellIs" priority="5" operator="equal" aboveAverage="0" equalAverage="0" bottom="0" percent="0" rank="0" text="" dxfId="19">
      <formula>"Lost"</formula>
    </cfRule>
  </conditionalFormatting>
  <conditionalFormatting sqref="V2:V501">
    <cfRule type="expression" priority="6" aboveAverage="0" equalAverage="0" bottom="0" percent="0" rank="0" text="" dxfId="12">
      <formula>AND(ISNUMBER($V2),$V2&gt;0.4)</formula>
    </cfRule>
  </conditionalFormatting>
  <conditionalFormatting sqref="A2:AE501">
    <cfRule type="expression" priority="7" aboveAverage="0" equalAverage="0" bottom="0" percent="0" rank="0" text="" dxfId="20">
      <formula>$M2="Lost"</formula>
    </cfRule>
  </conditionalFormatting>
  <conditionalFormatting sqref="N2:N501">
    <cfRule type="expression" priority="8" aboveAverage="0" equalAverage="0" bottom="0" percent="0" rank="0" text="" dxfId="12">
      <formula>AND(OR($K2="Rejected",$K2="Withdrawn"),$N2="")</formula>
    </cfRule>
  </conditionalFormatting>
  <dataValidations count="11">
    <dataValidation allowBlank="true" error="Please pick a value from the list / enter a valid value." errorStyle="stop" errorTitle="Invalid entry" operator="between" prompt="Pick the requisition this candidate applied for." promptTitle="Req ID" showDropDown="false" showErrorMessage="true" showInputMessage="true" sqref="E2:E501" type="list">
      <formula1>Requisitions!$A$2:$A$101</formula1>
      <formula2>0</formula2>
    </dataValidation>
    <dataValidation allowBlank="true" error="Please pick a value from the list / enter a valid value." errorStyle="stop" errorTitle="Invalid entry" operator="between" prompt="Where did this candidate come from?" promptTitle="Source" showDropDown="false" showErrorMessage="true" showInputMessage="true" sqref="H2:H501" type="list">
      <formula1>Lists!$G$4:$G$30</formula1>
      <formula2>0</formula2>
    </dataValidation>
    <dataValidation allowBlank="true" error="Please pick a value from the list / enter a valid value." errorStyle="stop" errorTitle="Invalid entry" operator="between" prompt="Owner of this candidate." promptTitle="Recruiter" showDropDown="false" showErrorMessage="true" showInputMessage="true" sqref="I2:I501" type="list">
      <formula1>Lists!$H$4:$H$30</formula1>
      <formula2>0</formula2>
    </dataValidation>
    <dataValidation allowBlank="true" error="Please pick a value from the list / enter a valid value." errorStyle="stop" errorTitle="Invalid entry" operator="between" prompt="Update this + 'Stage Updated On' whenever the candidate moves." promptTitle="Stage" showDropDown="false" showErrorMessage="true" showInputMessage="true" sqref="K2:K501" type="list">
      <formula1>Lists!$A$4:$A$14</formula1>
      <formula2>0</formula2>
    </dataValidation>
    <dataValidation allowBlank="true" error="Please pick a value from the list / enter a valid value." errorStyle="stop" errorTitle="Invalid entry" operator="between" prompt="Only for Rejected / Withdrawn: the stage they dropped out at." promptTitle="Dropped At" showDropDown="false" showErrorMessage="true" showInputMessage="true" sqref="N2:N501" type="list">
      <formula1>Lists!$L$4:$L$30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J2:J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L2:L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T2:T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U2:U501" type="date">
      <formula1>DATE(2000,1,1)</formula1>
      <formula2>0</formula2>
    </dataValidation>
    <dataValidation allowBlank="true" error="Rating must be 1 to 5" errorStyle="stop" operator="between" showDropDown="false" showErrorMessage="true" showInputMessage="false" sqref="S2:S501" type="whole">
      <formula1>1</formula1>
      <formula2>5</formula2>
    </dataValidation>
    <dataValidation allowBlank="true" error="This email is already in the tracker." errorStyle="stop" errorTitle="Duplicate candidate" operator="between" showDropDown="false" showErrorMessage="true" showInputMessage="false" sqref="C2:C501" type="custom">
      <formula1>OR(C2="",COUNTIF($C$2:$C$501,C2)=1)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3" t="s">
        <v>266</v>
      </c>
    </row>
    <row r="3" customFormat="false" ht="15" hidden="false" customHeight="false" outlineLevel="0" collapsed="false">
      <c r="A3" s="28" t="s">
        <v>34</v>
      </c>
      <c r="B3" s="28" t="s">
        <v>267</v>
      </c>
      <c r="C3" s="28" t="s">
        <v>268</v>
      </c>
      <c r="D3" s="28" t="s">
        <v>269</v>
      </c>
      <c r="E3" s="28" t="s">
        <v>135</v>
      </c>
      <c r="G3" s="28" t="s">
        <v>270</v>
      </c>
      <c r="H3" s="28" t="s">
        <v>271</v>
      </c>
      <c r="I3" s="28" t="s">
        <v>272</v>
      </c>
      <c r="J3" s="28" t="s">
        <v>273</v>
      </c>
      <c r="K3" s="28" t="s">
        <v>74</v>
      </c>
      <c r="L3" s="28" t="s">
        <v>274</v>
      </c>
    </row>
    <row r="4" customFormat="false" ht="15" hidden="false" customHeight="false" outlineLevel="0" collapsed="false">
      <c r="A4" s="29" t="s">
        <v>40</v>
      </c>
      <c r="B4" s="29" t="n">
        <v>1</v>
      </c>
      <c r="C4" s="29" t="n">
        <v>3</v>
      </c>
      <c r="D4" s="29" t="s">
        <v>56</v>
      </c>
      <c r="E4" s="29" t="s">
        <v>275</v>
      </c>
      <c r="G4" s="29" t="s">
        <v>151</v>
      </c>
      <c r="H4" s="29" t="s">
        <v>86</v>
      </c>
      <c r="I4" s="29" t="s">
        <v>82</v>
      </c>
      <c r="J4" s="29" t="s">
        <v>84</v>
      </c>
      <c r="K4" s="29" t="s">
        <v>85</v>
      </c>
      <c r="L4" s="29" t="s">
        <v>40</v>
      </c>
    </row>
    <row r="5" customFormat="false" ht="15" hidden="false" customHeight="false" outlineLevel="0" collapsed="false">
      <c r="A5" s="29" t="s">
        <v>41</v>
      </c>
      <c r="B5" s="29" t="n">
        <v>2</v>
      </c>
      <c r="C5" s="29" t="n">
        <v>3</v>
      </c>
      <c r="D5" s="29" t="s">
        <v>56</v>
      </c>
      <c r="E5" s="29" t="s">
        <v>276</v>
      </c>
      <c r="G5" s="29" t="s">
        <v>143</v>
      </c>
      <c r="H5" s="29" t="s">
        <v>96</v>
      </c>
      <c r="I5" s="29" t="s">
        <v>93</v>
      </c>
      <c r="J5" s="29" t="s">
        <v>90</v>
      </c>
      <c r="K5" s="29" t="s">
        <v>95</v>
      </c>
      <c r="L5" s="29" t="s">
        <v>41</v>
      </c>
    </row>
    <row r="6" customFormat="false" ht="15" hidden="false" customHeight="false" outlineLevel="0" collapsed="false">
      <c r="A6" s="29" t="s">
        <v>42</v>
      </c>
      <c r="B6" s="29" t="n">
        <v>3</v>
      </c>
      <c r="C6" s="29" t="n">
        <v>5</v>
      </c>
      <c r="D6" s="29" t="s">
        <v>56</v>
      </c>
      <c r="E6" s="29" t="s">
        <v>277</v>
      </c>
      <c r="G6" s="29" t="s">
        <v>171</v>
      </c>
      <c r="H6" s="29" t="s">
        <v>102</v>
      </c>
      <c r="I6" s="29" t="s">
        <v>99</v>
      </c>
      <c r="J6" s="29" t="s">
        <v>101</v>
      </c>
      <c r="K6" s="29" t="s">
        <v>108</v>
      </c>
      <c r="L6" s="29" t="s">
        <v>42</v>
      </c>
    </row>
    <row r="7" customFormat="false" ht="15" hidden="false" customHeight="false" outlineLevel="0" collapsed="false">
      <c r="A7" s="29" t="s">
        <v>43</v>
      </c>
      <c r="B7" s="29" t="n">
        <v>4</v>
      </c>
      <c r="C7" s="29" t="n">
        <v>5</v>
      </c>
      <c r="D7" s="29" t="s">
        <v>56</v>
      </c>
      <c r="E7" s="29" t="s">
        <v>278</v>
      </c>
      <c r="G7" s="29" t="s">
        <v>164</v>
      </c>
      <c r="I7" s="29" t="s">
        <v>105</v>
      </c>
      <c r="J7" s="29" t="s">
        <v>107</v>
      </c>
      <c r="L7" s="29" t="s">
        <v>43</v>
      </c>
    </row>
    <row r="8" customFormat="false" ht="15" hidden="false" customHeight="false" outlineLevel="0" collapsed="false">
      <c r="A8" s="29" t="s">
        <v>44</v>
      </c>
      <c r="B8" s="29" t="n">
        <v>5</v>
      </c>
      <c r="C8" s="29" t="n">
        <v>3</v>
      </c>
      <c r="D8" s="29" t="s">
        <v>56</v>
      </c>
      <c r="E8" s="29" t="s">
        <v>279</v>
      </c>
      <c r="G8" s="29" t="s">
        <v>147</v>
      </c>
      <c r="I8" s="29" t="s">
        <v>111</v>
      </c>
      <c r="J8" s="29" t="s">
        <v>113</v>
      </c>
      <c r="L8" s="29" t="s">
        <v>44</v>
      </c>
    </row>
    <row r="9" customFormat="false" ht="15" hidden="false" customHeight="false" outlineLevel="0" collapsed="false">
      <c r="A9" s="29" t="s">
        <v>45</v>
      </c>
      <c r="B9" s="29" t="n">
        <v>6</v>
      </c>
      <c r="C9" s="29" t="n">
        <v>5</v>
      </c>
      <c r="D9" s="29" t="s">
        <v>56</v>
      </c>
      <c r="E9" s="29" t="s">
        <v>280</v>
      </c>
      <c r="G9" s="29" t="s">
        <v>196</v>
      </c>
      <c r="L9" s="29" t="s">
        <v>45</v>
      </c>
    </row>
    <row r="10" customFormat="false" ht="15" hidden="false" customHeight="false" outlineLevel="0" collapsed="false">
      <c r="A10" s="29" t="s">
        <v>46</v>
      </c>
      <c r="B10" s="29" t="n">
        <v>7</v>
      </c>
      <c r="C10" s="29" t="n">
        <v>30</v>
      </c>
      <c r="D10" s="29" t="s">
        <v>56</v>
      </c>
      <c r="E10" s="29" t="s">
        <v>281</v>
      </c>
      <c r="G10" s="29" t="s">
        <v>282</v>
      </c>
      <c r="L10" s="29" t="s">
        <v>46</v>
      </c>
    </row>
    <row r="11" customFormat="false" ht="15" hidden="false" customHeight="false" outlineLevel="0" collapsed="false">
      <c r="A11" s="29" t="s">
        <v>23</v>
      </c>
      <c r="B11" s="29" t="n">
        <v>8</v>
      </c>
      <c r="C11" s="29" t="n">
        <v>0</v>
      </c>
      <c r="D11" s="29" t="s">
        <v>283</v>
      </c>
      <c r="E11" s="29" t="s">
        <v>284</v>
      </c>
      <c r="G11" s="29" t="s">
        <v>285</v>
      </c>
    </row>
    <row r="12" customFormat="false" ht="15" hidden="false" customHeight="false" outlineLevel="0" collapsed="false">
      <c r="A12" s="29" t="s">
        <v>47</v>
      </c>
      <c r="B12" s="29" t="n">
        <v>6</v>
      </c>
      <c r="C12" s="29" t="n">
        <v>0</v>
      </c>
      <c r="D12" s="29" t="s">
        <v>286</v>
      </c>
      <c r="E12" s="29" t="s">
        <v>287</v>
      </c>
    </row>
    <row r="13" customFormat="false" ht="15" hidden="false" customHeight="false" outlineLevel="0" collapsed="false">
      <c r="A13" s="29" t="s">
        <v>48</v>
      </c>
      <c r="B13" s="29" t="n">
        <v>0</v>
      </c>
      <c r="C13" s="29" t="n">
        <v>0</v>
      </c>
      <c r="D13" s="29" t="s">
        <v>286</v>
      </c>
      <c r="E13" s="29" t="s">
        <v>288</v>
      </c>
    </row>
    <row r="14" customFormat="false" ht="15" hidden="false" customHeight="false" outlineLevel="0" collapsed="false">
      <c r="A14" s="29" t="s">
        <v>49</v>
      </c>
      <c r="B14" s="29" t="n">
        <v>0</v>
      </c>
      <c r="C14" s="29" t="n">
        <v>0</v>
      </c>
      <c r="D14" s="29" t="s">
        <v>286</v>
      </c>
      <c r="E14" s="29" t="s">
        <v>289</v>
      </c>
    </row>
    <row r="17" customFormat="false" ht="15" hidden="false" customHeight="false" outlineLevel="0" collapsed="false">
      <c r="A17" s="30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2026-10-15T17:55:54Z</dcterms:created>
  <dc:creator>openpyxl</dc:creator>
  <dc:description/>
  <dc:language>en-US</dc:language>
  <cp:lastModifiedBy/>
  <dcterms:modified xsi:type="dcterms:W3CDTF">2026-10-15T17:55:59Z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